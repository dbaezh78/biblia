
<file path=[Content_Types].xml><?xml version="1.0" encoding="utf-8"?>
<Types xmlns="http://schemas.openxmlformats.org/package/2006/content-types"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b\Github\biblia\src\doc\"/>
    </mc:Choice>
  </mc:AlternateContent>
  <xr:revisionPtr revIDLastSave="0" documentId="8_{6A49C1FE-D928-4742-A846-3DB4F0BE1455}" xr6:coauthVersionLast="47" xr6:coauthVersionMax="47" xr10:uidLastSave="{00000000-0000-0000-0000-000000000000}"/>
  <bookViews>
    <workbookView xWindow="-120" yWindow="-120" windowWidth="51840" windowHeight="21120" xr2:uid="{3EE85296-FD02-441B-A431-249BCA21698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114" i="1" l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C69" i="1"/>
  <c r="H68" i="1"/>
  <c r="C68" i="1"/>
  <c r="H67" i="1"/>
  <c r="C67" i="1"/>
  <c r="H66" i="1"/>
  <c r="C66" i="1"/>
  <c r="H65" i="1"/>
  <c r="C65" i="1"/>
  <c r="H64" i="1"/>
  <c r="C64" i="1"/>
  <c r="H63" i="1"/>
  <c r="C63" i="1"/>
  <c r="H62" i="1"/>
  <c r="C62" i="1"/>
  <c r="H61" i="1"/>
  <c r="C61" i="1"/>
  <c r="H60" i="1"/>
  <c r="C60" i="1"/>
  <c r="H59" i="1"/>
  <c r="C59" i="1"/>
  <c r="H58" i="1"/>
  <c r="C58" i="1"/>
  <c r="H57" i="1"/>
  <c r="C57" i="1"/>
  <c r="H56" i="1"/>
  <c r="C56" i="1"/>
  <c r="H55" i="1"/>
  <c r="C55" i="1"/>
  <c r="H54" i="1"/>
  <c r="C54" i="1"/>
  <c r="H53" i="1"/>
  <c r="C53" i="1"/>
  <c r="H52" i="1"/>
  <c r="C52" i="1"/>
  <c r="H51" i="1"/>
  <c r="C51" i="1"/>
  <c r="H50" i="1"/>
  <c r="C50" i="1"/>
  <c r="H49" i="1"/>
  <c r="C49" i="1"/>
  <c r="H48" i="1"/>
  <c r="C48" i="1"/>
  <c r="H47" i="1"/>
  <c r="C47" i="1"/>
  <c r="H46" i="1"/>
  <c r="C46" i="1"/>
  <c r="H45" i="1"/>
  <c r="C45" i="1"/>
  <c r="H44" i="1"/>
  <c r="C44" i="1"/>
  <c r="H43" i="1"/>
  <c r="C43" i="1"/>
  <c r="H42" i="1"/>
  <c r="C42" i="1"/>
  <c r="H41" i="1"/>
  <c r="C41" i="1"/>
  <c r="H40" i="1"/>
  <c r="C40" i="1"/>
  <c r="H39" i="1"/>
  <c r="C39" i="1"/>
  <c r="H38" i="1"/>
  <c r="C38" i="1"/>
  <c r="H37" i="1"/>
  <c r="C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H2" i="1"/>
</calcChain>
</file>

<file path=xl/sharedStrings.xml><?xml version="1.0" encoding="utf-8"?>
<sst xmlns="http://schemas.openxmlformats.org/spreadsheetml/2006/main" count="461" uniqueCount="388">
  <si>
    <t>Ciclo</t>
  </si>
  <si>
    <t>Tiempo</t>
  </si>
  <si>
    <t>Primera Lectura</t>
  </si>
  <si>
    <t>Salmo responsorial</t>
  </si>
  <si>
    <t>Segunda Lectura</t>
  </si>
  <si>
    <t xml:space="preserve">Aleluya </t>
  </si>
  <si>
    <t>Evangelio</t>
  </si>
  <si>
    <t>A</t>
  </si>
  <si>
    <t>Domingo 1º de Adviento</t>
  </si>
  <si>
    <t>Isaías  2, 1-5</t>
  </si>
  <si>
    <t>Salmo 121, 1-2. 4-5. 6-7. 8-9</t>
  </si>
  <si>
    <t>Romanos 13, 11-14a</t>
  </si>
  <si>
    <t>Sal 84,8</t>
  </si>
  <si>
    <t>Mateo 24, 37-44</t>
  </si>
  <si>
    <t>Domingo 2º de Adviento</t>
  </si>
  <si>
    <t>Isaías: 11, 1-10</t>
  </si>
  <si>
    <t>Salmo 71, 1-2. 7-8. 12-13. 17</t>
  </si>
  <si>
    <t>Romanos: 15, 4-9</t>
  </si>
  <si>
    <t>Lc 3,4.6</t>
  </si>
  <si>
    <t>Mateo: 3, 1-12</t>
  </si>
  <si>
    <t>Domingo 3º de Adviento</t>
  </si>
  <si>
    <t>Isaías 35, 1-6a. 10</t>
  </si>
  <si>
    <t>Salmo 145, 7. 8-9a. 9bc-10</t>
  </si>
  <si>
    <t>Santiago 5, 7-10</t>
  </si>
  <si>
    <t>Lc 4, 18</t>
  </si>
  <si>
    <t>Mateo 11, 2-11</t>
  </si>
  <si>
    <t>Domingo 4º de Adviento</t>
  </si>
  <si>
    <t>Isaías 7, 10-14</t>
  </si>
  <si>
    <t>Salmo 23, 1-2. 3-4ab. 5-6</t>
  </si>
  <si>
    <t>Romanos 1, 1-7</t>
  </si>
  <si>
    <t>Mt 1, 23</t>
  </si>
  <si>
    <t>Mateo 1, 18-24</t>
  </si>
  <si>
    <t>A,B,C</t>
  </si>
  <si>
    <t>Natividad del Señor - Misa de la vigilia</t>
  </si>
  <si>
    <t>Isaías 62, 1-5</t>
  </si>
  <si>
    <t>Salmo 88, 4-5. 16-17. 27 y 29</t>
  </si>
  <si>
    <t>Hechos de los apóstoles 13, 16-17. 22-25</t>
  </si>
  <si>
    <t>Mañana quedará borrada la maldad de la tierra,
y será nuestro rey el Salvador del mundo</t>
  </si>
  <si>
    <t>Mateo 1, 1-25</t>
  </si>
  <si>
    <t>Mateo 1, 18-25</t>
  </si>
  <si>
    <t>Natividad del Señor - Misa de medianoche</t>
  </si>
  <si>
    <t>Isaías 9, 1-3. 5-6</t>
  </si>
  <si>
    <t>Salmo 95, 1-2a. 2b-3. 11-12. 13</t>
  </si>
  <si>
    <t>Tito 2, 11-14</t>
  </si>
  <si>
    <t>Lc 2, 10-11</t>
  </si>
  <si>
    <t>Lucas 2, 1-14</t>
  </si>
  <si>
    <t>Natividad del Señor - Misa de la aurora</t>
  </si>
  <si>
    <t>Isaías 62, 11-12</t>
  </si>
  <si>
    <t>Salmo 96, 1 y 6. 11-12</t>
  </si>
  <si>
    <t>Pablo a Tito 3, 4-7</t>
  </si>
  <si>
    <t>Lc 2, 14</t>
  </si>
  <si>
    <t>Lucas 2, 15-20</t>
  </si>
  <si>
    <t>Natividad del Señor - Misa del día</t>
  </si>
  <si>
    <t>Isaías 52, 7-10</t>
  </si>
  <si>
    <t>Salmo 97, 1. 2-3ab. 3cd-4. 5-6</t>
  </si>
  <si>
    <t>Hebreos 1, 1-6</t>
  </si>
  <si>
    <t>Nos ha amanecido un día sagrado;
venid, naciones, adorad al Señor,
porque hoy una gran luz ha bajado a la tierra.</t>
  </si>
  <si>
    <t>Juan 1, 1-18</t>
  </si>
  <si>
    <t>Juan 1, 1-5. 9-14</t>
  </si>
  <si>
    <t>La Sagrada Familia</t>
  </si>
  <si>
    <t>Sirácida 3, 2-6. 12-14</t>
  </si>
  <si>
    <t>Salmo 127, 1-2. 3. 4-5</t>
  </si>
  <si>
    <t>Colosenses 3, 12-21</t>
  </si>
  <si>
    <t>Col 3, 15a. 16a</t>
  </si>
  <si>
    <t>Mateo 2, 13-15. 19-23</t>
  </si>
  <si>
    <t>1 Enero</t>
  </si>
  <si>
    <t>Santa María Madre de Dios</t>
  </si>
  <si>
    <t>Números 6, 22-27</t>
  </si>
  <si>
    <t>Salmo 66, 2-3. 5. 6 y 8</t>
  </si>
  <si>
    <t>Gálatas 4, 4-7</t>
  </si>
  <si>
    <t>Hb 1, 1-2</t>
  </si>
  <si>
    <t>Lucas 2, 16-21</t>
  </si>
  <si>
    <t>2º Domingo después de Navidad</t>
  </si>
  <si>
    <t>Sirácida 24. 1-2. 8-12</t>
  </si>
  <si>
    <t>Salmo 147, 12-13. 14-15. 19-20</t>
  </si>
  <si>
    <t>Efesios 1, 3-6. 15-18</t>
  </si>
  <si>
    <t>1Tm 3, 16</t>
  </si>
  <si>
    <t>A,B,C 6 Enero</t>
  </si>
  <si>
    <t>Epifanía del Señor</t>
  </si>
  <si>
    <t>Isaías 60, 1-6</t>
  </si>
  <si>
    <t>Salmo 71, 1-2. 7-8. 10-11. 12-13</t>
  </si>
  <si>
    <t>Efesios 3, 2-3a. 5-6</t>
  </si>
  <si>
    <t>My 2, 2</t>
  </si>
  <si>
    <t>Mateo 2, 1-12</t>
  </si>
  <si>
    <t>El Bautismo del Señor</t>
  </si>
  <si>
    <t>Isaías 42, 1-4. 6-7</t>
  </si>
  <si>
    <t>Salmo 28, 1a y 2. 3ac-4. 3b y 9b-10</t>
  </si>
  <si>
    <t>Hechos de los apóstoles 10, 34-38</t>
  </si>
  <si>
    <t>Mc 9, 7</t>
  </si>
  <si>
    <t>Mateo 3, 13-17</t>
  </si>
  <si>
    <t>Primer domingo de Cuaresma</t>
  </si>
  <si>
    <t>Génesis 2, 7-9; 3, 1-7</t>
  </si>
  <si>
    <t>Salmo 50, 3-4. 5-6a. 12-13. 14 y 17</t>
  </si>
  <si>
    <t>Romanos 5, 12-19 / Romanos 5, 12. 17-19</t>
  </si>
  <si>
    <t>Mt 4, 4</t>
  </si>
  <si>
    <t>Mateo 4, 1-11</t>
  </si>
  <si>
    <t>Segundo domingo de Cuaresma</t>
  </si>
  <si>
    <t>Génesis 12, 1-4</t>
  </si>
  <si>
    <t>Salmo 32, 4-5. 18-19. 20 y 22</t>
  </si>
  <si>
    <t>Timoteo 1, 8b-10</t>
  </si>
  <si>
    <t>En el esplendor de la nube se oyó la voz del Padre:
«Éste es mi Hijo, el amado; escuchadlo».</t>
  </si>
  <si>
    <t>Mateo 17, 1-9</t>
  </si>
  <si>
    <t>Tercer domingo de Cuaresma</t>
  </si>
  <si>
    <t>Éxodo 17, 3-7</t>
  </si>
  <si>
    <t>Salmo 94, 1-2. 6-7. 8-9</t>
  </si>
  <si>
    <t>Romanos 5, 1-2. 5-8</t>
  </si>
  <si>
    <t>Jn 4, 42. 15</t>
  </si>
  <si>
    <t>Juan 4, 5-42</t>
  </si>
  <si>
    <t>Juan 4, 5-15. 19b-26. 39a. 40-42</t>
  </si>
  <si>
    <t>Cuarto domingo de Cuaresma</t>
  </si>
  <si>
    <t>Samuel 16, 1b. 6-7. 10-13a</t>
  </si>
  <si>
    <t>Salmo 22, 1-3a. 3b-4. 5. 6</t>
  </si>
  <si>
    <t>Efesios 5, 8-14</t>
  </si>
  <si>
    <t>Jn 8,2b</t>
  </si>
  <si>
    <t>Juan 9, 1-41</t>
  </si>
  <si>
    <t>Juan 9, 1. 6-9. 13-17. 34-38</t>
  </si>
  <si>
    <t>Quinto domingo de Cuaresma</t>
  </si>
  <si>
    <t>Ezequiel 37, 12-14</t>
  </si>
  <si>
    <t>Salmo 129, 1-2. 3-4ab. 4c-6. 7-8</t>
  </si>
  <si>
    <t>Romanos 8, 8-11</t>
  </si>
  <si>
    <t>Jn 11, 25a. 26</t>
  </si>
  <si>
    <t>Juan 11, 1-45</t>
  </si>
  <si>
    <t>Juan 11, 3-7. 17. 20-27. 33b-45</t>
  </si>
  <si>
    <t>Domingo de ramos</t>
  </si>
  <si>
    <t>Mateo 21, 1-11        Isaías 50, 4-7</t>
  </si>
  <si>
    <t>Salmo 21, 8-9. 17-18a. 19-20. 23-24</t>
  </si>
  <si>
    <t>Filipenses 2, 6-11</t>
  </si>
  <si>
    <t>Flp 2, 8-9</t>
  </si>
  <si>
    <t>Mateo 26, 14—27, 66</t>
  </si>
  <si>
    <t>Jueves santo</t>
  </si>
  <si>
    <t>Éxodo 12, 1-8. 11-14</t>
  </si>
  <si>
    <t>Salmo 115, 12-13. 15-16bc. 17-18</t>
  </si>
  <si>
    <t>Corintios 11, 23-26</t>
  </si>
  <si>
    <t>Jn 13, 34</t>
  </si>
  <si>
    <t>Juan 13, 1-15</t>
  </si>
  <si>
    <t>Viernes santo</t>
  </si>
  <si>
    <t>Isaías 52, 13—53, 12</t>
  </si>
  <si>
    <t>Salmo 30, 2 y 6. 12-13. 15-16. 17 y 25</t>
  </si>
  <si>
    <t>Hebreos 4, 14-16; 5, 7-9</t>
  </si>
  <si>
    <t>Juan 18, 1—19, 42</t>
  </si>
  <si>
    <t>Vigilia Pascual</t>
  </si>
  <si>
    <t>1
Génesis 1, 1—2, 2 / Génesis 1, 1. 26-31a
Salmo 103, 1-2a. 5-6. 10 y 12. 13-14. 24 y 35a / Salmo 32, 4-5. 6-7. 12-13. 20 y 22
2
Génesis 22, 1-18 / Génesis 22, 1-2. 9a. 10-13. 15-18
Salmo 15, 5 y 8. 9-10. 11
3
Éxodo 14, 15—15, 1 / 
Salmo Éxodo 15, 1-2. 3-4. 5-6. 17-18
4
Isaías 54, 5-14
Salmo  29, 2 y 4. 5-6. 11 y 12a y 13b
5
Isaías 55, 1-11
salmo Isaías 12, 2-3. 4. 5-6
6
Baruc 3, 9-15. 32—4,4
Salmo 18, 8. 9. 10, 11
7
Ezequiel 36, 16-28
Salmo 41, 3. 5bcd; 42, 3. 4 / Isaías 12, 2-3. 4. 5-6 / Salmo 50, 12-13. 14-15. 18-19
8
Romanos 6, 3-11
Salmo 117, 1-2. 16ab-17. 22-23
Ev.
Mateo 28, 1-10</t>
  </si>
  <si>
    <t>Domingo de Pascua</t>
  </si>
  <si>
    <t>Hechos de los apóstoles 10, 34a. 37-43</t>
  </si>
  <si>
    <t>Salmo 117, 1-2. 16ab-17. 22-23</t>
  </si>
  <si>
    <t>Colosenses 3, 1-4 / Corintios 5, 6b-8</t>
  </si>
  <si>
    <t>1Cor 5, 7b-8a</t>
  </si>
  <si>
    <t>Juan 20, 1-9</t>
  </si>
  <si>
    <t>Segundo domingo de Pascua</t>
  </si>
  <si>
    <t>Hechos de los apóstoles 2, 42-47</t>
  </si>
  <si>
    <t>Salmo 117, 2-4. 13-15. 22-24</t>
  </si>
  <si>
    <t>Pedro: 1, 3-9</t>
  </si>
  <si>
    <t>Jn 20, 29</t>
  </si>
  <si>
    <t>Juan 20, 19-31</t>
  </si>
  <si>
    <t>Tercer domingo de Pascua</t>
  </si>
  <si>
    <t>Hechos de los apóstoles 2, 14. 22-33</t>
  </si>
  <si>
    <t>Salmo 15, 1-2a y 5. 7-8. 9-10. 11</t>
  </si>
  <si>
    <t>Pedro 1, 17-21</t>
  </si>
  <si>
    <t>Lc 24, 32</t>
  </si>
  <si>
    <t>Lucas 24, 13-35</t>
  </si>
  <si>
    <t>Cuarto domingo de Pascua</t>
  </si>
  <si>
    <t>Hechos de los apóstoles 2, 14a. 36-41</t>
  </si>
  <si>
    <t>Pedro 2, 20b-25</t>
  </si>
  <si>
    <t>Jn 10, 14</t>
  </si>
  <si>
    <t>Juan 10, 1-10</t>
  </si>
  <si>
    <t>Quinto domingo de Pascua</t>
  </si>
  <si>
    <t>Hechos de los apóstoles 6, 1-7</t>
  </si>
  <si>
    <t>Salmo 32, 1-2. 4-5. 18-19</t>
  </si>
  <si>
    <t>Pedro 2, 4-9</t>
  </si>
  <si>
    <t>Jn 14, 6</t>
  </si>
  <si>
    <t>Juan 14, 1-12</t>
  </si>
  <si>
    <t>Sexto domingo de Pascua</t>
  </si>
  <si>
    <t>Hechos de los apóstoles 8, 5-8. 14-17</t>
  </si>
  <si>
    <t>Salmo 65, 1-3a. 4-5. 6-7a. 16 y 20</t>
  </si>
  <si>
    <t>Pedro 3, 15-18</t>
  </si>
  <si>
    <t>Jn 14, 23</t>
  </si>
  <si>
    <t>Juan 14, 15-21</t>
  </si>
  <si>
    <t>La Ascensión del Señor</t>
  </si>
  <si>
    <t>Hechos de los apóstoles 1, 1-11</t>
  </si>
  <si>
    <t>Salmo 46, 2-3. 6-7. 8-9</t>
  </si>
  <si>
    <t>Efesios 1, 17-23</t>
  </si>
  <si>
    <t>Mt 28, 19.20</t>
  </si>
  <si>
    <t>Mateo 28, 16-20</t>
  </si>
  <si>
    <t>Séptimo domingo de Pascua</t>
  </si>
  <si>
    <t>Hechos de los apóstoles 1, 12-14</t>
  </si>
  <si>
    <t>Salmo 26, 1. 4. 7-8</t>
  </si>
  <si>
    <t>Pedro 4, 13-16</t>
  </si>
  <si>
    <t>Jn 14, 18</t>
  </si>
  <si>
    <t>Juan 17, 1-11</t>
  </si>
  <si>
    <t>Domingo de Pentecostés - Vigilia</t>
  </si>
  <si>
    <t>Génesis 11, 1-9 / Éxodo 19, 3-8a. 16-20b / Ezequiel 37, 1-14 / Joel 3, 1-5</t>
  </si>
  <si>
    <t>Salmo 103, 1-2a. 24. 27-28. 29bc-30</t>
  </si>
  <si>
    <t>Romanos 8, 22-27</t>
  </si>
  <si>
    <t>Ven, Espíritu Santo,
llena los corazones de tus fieles
y enciende en ellos la llama de tu amor</t>
  </si>
  <si>
    <t>Juan 7, 37-39</t>
  </si>
  <si>
    <t>Domingo de Pentecostés - Misa del día</t>
  </si>
  <si>
    <t>Hechos de los apóstoles: 2, 1-11</t>
  </si>
  <si>
    <t>Salmo 103, 1ab y 24ac. 29bc-30. 31 y 34</t>
  </si>
  <si>
    <t>Corintios 12, 3b-7. 12-13</t>
  </si>
  <si>
    <t>Ven, Espíritu Santo,
llena los corazones de tus fieles
y enciende en ellos la llama de tu amor.</t>
  </si>
  <si>
    <t>Juan 20, 19-23</t>
  </si>
  <si>
    <t>La Santísima Trinidad</t>
  </si>
  <si>
    <t>Éxodo: 34, 4b-6. 8-9</t>
  </si>
  <si>
    <t>Daniel 3, 52. 53. 54. 55. 56</t>
  </si>
  <si>
    <t>Corintios 13, 11-13</t>
  </si>
  <si>
    <t>Ap 1, 8</t>
  </si>
  <si>
    <t>Juan 3,1 6-18</t>
  </si>
  <si>
    <t>Santísimo Cuerpo y Sangre de Cristo</t>
  </si>
  <si>
    <t>Deuteronomio 8, 2-3. 14b-16a</t>
  </si>
  <si>
    <t>Corintios 10, 16-17</t>
  </si>
  <si>
    <t>Jn 6, 51</t>
  </si>
  <si>
    <t>Juan 6, 51-58</t>
  </si>
  <si>
    <t>Domingo después de la Santísima Trinidad</t>
  </si>
  <si>
    <t>El sagrado Corazón de Jesús</t>
  </si>
  <si>
    <t>Deuteronomio 7, 6-11</t>
  </si>
  <si>
    <t>Salmo 102. 1-2. 3-4. 6-7. 8 y 10</t>
  </si>
  <si>
    <t>Juan 4, 7-16</t>
  </si>
  <si>
    <t>Mt 11, 29ab</t>
  </si>
  <si>
    <t>Mateo 11, 25-30</t>
  </si>
  <si>
    <t>Viernes posterior al segundo domingo después de Pentecostés</t>
  </si>
  <si>
    <t>Lectura del libro de Isaías 49, 3. 5-6</t>
  </si>
  <si>
    <t>Salmo responsorial: Salmo 39, 2 y 4ab, 7-8a. 8b-9. 10 (R.: 8a y 9a)</t>
  </si>
  <si>
    <t>Comienzo de la primera carta del apóstol san Pablo a los Corintios 1, 1-3</t>
  </si>
  <si>
    <t>Aleluya Jn 1, 14. 12b</t>
  </si>
  <si>
    <t>Juan 1, 29-34</t>
  </si>
  <si>
    <t>Lectura del libro de Isaías 8, 23b—9, 3</t>
  </si>
  <si>
    <t>Salmo responsorial: Salmo 26, 1. 4. 13-14 (R.: 1a)</t>
  </si>
  <si>
    <t>Lectura de la primera carta del apóstol san Pablo a los Corintios 1, 10-13. 17</t>
  </si>
  <si>
    <t>Aleluya Mt 4, 23</t>
  </si>
  <si>
    <t>Mateo 4, 12-23</t>
  </si>
  <si>
    <t>Mateo 4, 12-17</t>
  </si>
  <si>
    <t>Lectura de la profecía de Sofonías 2, 3; 3, 12-13</t>
  </si>
  <si>
    <t>Salmo responsorial: Salmo 145, 7. 8-9a. 9bc-10 (R.: Mt 5, 13)</t>
  </si>
  <si>
    <t>Lectura de la primera carta del apóstol san Pablo a los Corintios 1, 26-31</t>
  </si>
  <si>
    <t>Aleluya Mt 5, 12a</t>
  </si>
  <si>
    <t> Lectura del santo evangelio según san Mateo 5, 1-12a</t>
  </si>
  <si>
    <t>Lectura del libro de Isaías 58, 7-10</t>
  </si>
  <si>
    <t>Salmo responsorial: Salmo 111, 4-5. 6-7. 8a y 9 (R.: 4a)</t>
  </si>
  <si>
    <t>Lectura de la primera carta del apóstol san Pablo a los Corintios 2, 1-5</t>
  </si>
  <si>
    <t>Aleluya Jn 8, 12b</t>
  </si>
  <si>
    <t> Lectura del santo evangelio según san Mateo 5, 13-16</t>
  </si>
  <si>
    <t>Lectura del libro de Sirácida 15, 16-21</t>
  </si>
  <si>
    <t>Salmo responsorial: Salmo 118, 1-2. 4-5. 17-18. 33-34 (R.: 1b)</t>
  </si>
  <si>
    <t>Lectura de la primera carta del apóstol san Pablo a los Corintios 2, 6-10</t>
  </si>
  <si>
    <t>Aleluya Mt 11, 25</t>
  </si>
  <si>
    <t> Lectura del santo evangelio según san Mateo 5, 17-37</t>
  </si>
  <si>
    <t> Lectura del santo evangelio según san Mateo 5, 20-22a. 27-28. 33-34a. 37</t>
  </si>
  <si>
    <t>Lectura del libro del Levítico  19, 1-2. 17-18</t>
  </si>
  <si>
    <t>Salmo responsorial: Salmo 102, 1-2. 3-4. 8 y 10. 12-13 (R.: 8a)</t>
  </si>
  <si>
    <t>Lectura de la primera carta del apóstol san Pablo a los Corintios 3, 16-23</t>
  </si>
  <si>
    <t>Aleluya 1Jn 2, 5</t>
  </si>
  <si>
    <t> Lectura del santo evangelio según san Mateo 5, 38-48</t>
  </si>
  <si>
    <t>Lectura del libro de Isaías 49, 14-15</t>
  </si>
  <si>
    <t>Salmo responsorial: 61, 2-3. 6-7. 8-9ab (R.: 6a)</t>
  </si>
  <si>
    <t>Lectura de la primera carta del apóstol san Pablo a los Corintios 4, 1-5</t>
  </si>
  <si>
    <t>Aleluya Hb 4, 12</t>
  </si>
  <si>
    <t> Lectura del santo evangelio según san Mateo 6, 24-34</t>
  </si>
  <si>
    <t>Lectura del libro del Deuteronomio 11, 18. 26-28. 32</t>
  </si>
  <si>
    <t>Salmo responsorial: Salmo 30, 2-3a. 3bc-4. 17 y 25 (R.: 3b)</t>
  </si>
  <si>
    <t>Lectura de la carta del apóstol san Pablo a los Romanos 3, 21-25a. 28</t>
  </si>
  <si>
    <t>Aleluya Jn 15, 5</t>
  </si>
  <si>
    <t> Lectura del santo evangelio según san Mateo 7, 21-27</t>
  </si>
  <si>
    <t>Lectura de la profecía de Oseas 6, 3-6</t>
  </si>
  <si>
    <t>Salmo responsorial: Salmo 49, 1 y 8. 12-13. 14-15 (R.: 23b)</t>
  </si>
  <si>
    <t>Lectura de la carta del apóstol san Pablo a los Romanos 4, 18-25</t>
  </si>
  <si>
    <t>Aleluya Lc 4, 18</t>
  </si>
  <si>
    <t> Lectura del santo evangelio según san Mateo 9, 9-13</t>
  </si>
  <si>
    <t>Lectura del libro del Éxodo 19, 2-6a</t>
  </si>
  <si>
    <t>Salmo responsorial: Salmo 99, 2. 3. 5 (R.: 3c)</t>
  </si>
  <si>
    <t>Lectura de la carta del apóstol san Pablo a los Romanos 5, 6-11</t>
  </si>
  <si>
    <t>Aleluya Mc 1, 15</t>
  </si>
  <si>
    <t> Lectura del santo evangelio según san Mateo 9, 36—10, 8</t>
  </si>
  <si>
    <t>Lectura del libro de Jeremías 20, 10-13</t>
  </si>
  <si>
    <t>Salmo responsorial: Salmo 68, 8-10. 14 y 17. 33-35 (R.: 14c)</t>
  </si>
  <si>
    <t>Lectura de la carta del apóstol san Pablo a los Romanos 5, 12-15</t>
  </si>
  <si>
    <t>Aleluya Jn 15, 26b. 27a</t>
  </si>
  <si>
    <t> Lectura del santo evangelio según san Mateo 10, 26-33</t>
  </si>
  <si>
    <t>Lectura del segundo libro de los Reyes 4, 8-11. 14-16a</t>
  </si>
  <si>
    <t>Salmo responsorial: Salmo 88, 2-3. 16-17. 18-19 (R.: 2a)</t>
  </si>
  <si>
    <t>Lectura de la carta del apóstol san Pablo a los Romanos 6, 3-4. 8-11</t>
  </si>
  <si>
    <t>Aleluya 1P 2, 9</t>
  </si>
  <si>
    <t> Lectura del santo evangelio según san Mateo 10, 37-42</t>
  </si>
  <si>
    <t>Lectura de la profecía de Zacarías 9, 9-10</t>
  </si>
  <si>
    <t>Salmo responsorial: Salmo 144, 1-2. 8-9. 10-11. 13cd-14 (R.: cf. 1)</t>
  </si>
  <si>
    <t>Lectura de la carta del apóstol san Pablo a los Romanos 8, 9. 11-13</t>
  </si>
  <si>
    <t>Aleluya Cf. Mt 11, 25</t>
  </si>
  <si>
    <t> Lectura del santo evangelio según san Mateo 11, 25-30</t>
  </si>
  <si>
    <t>Lectura del libro de Isaías 55, 10-11</t>
  </si>
  <si>
    <t>Salmo responsorial: Salmo 64, 10. 11. 12-13. 14 (R.: Lc 8, 8)</t>
  </si>
  <si>
    <t>Lectura de la carta del apóstol san Pablo a los Romanos 8, 18-23</t>
  </si>
  <si>
    <t>La semilla es la palabra de Dios, el sembrador es Cristo;
quien lo encuentra vive para siempre.</t>
  </si>
  <si>
    <t> Lectura del santo evangelio según san Mateo 13, 1-23</t>
  </si>
  <si>
    <t> Lectura del santo evangelio según san Mateo 13, 1-9</t>
  </si>
  <si>
    <t>Lectura del libro de la Sabiduría: 12, 13. 16-19</t>
  </si>
  <si>
    <t>Salmo responsorial: Salmo 85, 5-6. 9-10. 15-16a (R.: 5a)</t>
  </si>
  <si>
    <t>Lectura de la carta del apóstol san Pablo a los Romanos 8, 26-27</t>
  </si>
  <si>
    <t> Lectura del santo evangelio según san Mateo 13, 24-43</t>
  </si>
  <si>
    <t> Lectura del santo evangelio según san Mateo 13, 24-30</t>
  </si>
  <si>
    <t>Lectura del primer libro de los Reyes 3, 5. 7-12</t>
  </si>
  <si>
    <t>Salmo responsorial: Salmo 118, 57 y 72. 76-77. 127-128. 129-130 (R.: 97a)</t>
  </si>
  <si>
    <t>Lectura de la carta del apóstol san Pablo a los Romanos 8, 28-30</t>
  </si>
  <si>
    <t> Lectura del santo evangelio según san Mateo 13, 44-52</t>
  </si>
  <si>
    <t> Lectura del santo evangelio según san Mateo 13, 44-46</t>
  </si>
  <si>
    <t>Lectura del libro de Isaías 55, 1-3</t>
  </si>
  <si>
    <t>Salmo responsorial: Salmo 144, 8-9. 15-16. 17-18 (R.: cf. 16)</t>
  </si>
  <si>
    <t>Lectura de la carta del apóstol san Pablo a los Romanos 8, 35. 37-39</t>
  </si>
  <si>
    <t>Aleluya Mt 4, 4b</t>
  </si>
  <si>
    <t> Lectura del santo evangelio según san Mateo 14, 13-21</t>
  </si>
  <si>
    <t>Lectura del primer libro de los Reyes 19, 9a. 11-13a</t>
  </si>
  <si>
    <t>Salmo responsorial: Salmo 84, 9ab-10. 11-12. 13-14 (R.: 8)</t>
  </si>
  <si>
    <t>Lectura de la carta del apóstol san Pablo a los Romanos 9, 1-5</t>
  </si>
  <si>
    <t>Aleluya Cf. Sal 129, 5</t>
  </si>
  <si>
    <t> Lectura del santo evangelio según san Mateo 14, 22-33</t>
  </si>
  <si>
    <t>Lectura del libro de Isaías 56, 1. 6-7</t>
  </si>
  <si>
    <t>Salmo responsorial: Salmo 66, 2-3. 5. 6 y 8 (R.: 4)</t>
  </si>
  <si>
    <t>Lectura de la carta del apóstol san Pablo a los Romanos 11, 13-15. 29-32</t>
  </si>
  <si>
    <t> Lectura del santo evangelio según san Mateo 15, 21-28.</t>
  </si>
  <si>
    <t>Lectura del libro de Isaías 22, 19-23</t>
  </si>
  <si>
    <t>Salmo responsorial: Salmo 137, 1-2a. 2bc-3. 6 y 8bc (R.: 8bc)</t>
  </si>
  <si>
    <t>Lectura de la carta del apóstol san Pablo a los Romanos 11, 33-36</t>
  </si>
  <si>
    <t>Aleluya Mt 16, 18</t>
  </si>
  <si>
    <t> Lectura del santo evangelio según san Mateo 16, 13-20</t>
  </si>
  <si>
    <t>Lectura del libro de Jeremías 20, 7-9</t>
  </si>
  <si>
    <t>Salmo responsorial: Salmo 62, 2. 3-4. 5-6. 8-9 (R.:2b)</t>
  </si>
  <si>
    <t>Lectura de la carta del apóstol san Pablo a los Romanos 12, 1-2</t>
  </si>
  <si>
    <t>Aleluya Cf. Ef 1, 17-18</t>
  </si>
  <si>
    <t> Lectura del santo evangelio según san Mateo 16, 21-27</t>
  </si>
  <si>
    <t>Lectura de la profecía de Ezequiel 33, 7-9</t>
  </si>
  <si>
    <t>Salmo responsorial: Salmo 94, 1-2. 6-7. 8-9 (R.: 8)</t>
  </si>
  <si>
    <t>Lectura de la carta del apóstol san Pablo a los Romanos 13, 8-10</t>
  </si>
  <si>
    <t>Aleluya 2Co 5, 19</t>
  </si>
  <si>
    <t> Lectura del santo evangelio según san Mateo 18, 15-20</t>
  </si>
  <si>
    <t>Lectura del libro de Sirácida 27, 33—28, 9</t>
  </si>
  <si>
    <t>Salmo responsorial: Salmo 102, 1-2. 3-4. 9-10. 11-12 (R.: 8)</t>
  </si>
  <si>
    <t>Lectura de la carta del apóstol san Pablo a los Romanos 14, 7-9</t>
  </si>
  <si>
    <t>Aleluya Jn 13, 34</t>
  </si>
  <si>
    <t> Lectura del santo evangelio según san Mateo 18, 21-35</t>
  </si>
  <si>
    <t>Lectura del libro de Isaías 55, 6-9</t>
  </si>
  <si>
    <t>Salmo responsorial: Salmo 144, 2-3. 8-9. 17-18 (R.: 18a)</t>
  </si>
  <si>
    <t>Lectura de la carta del apóstol san Pablo a los Filipenses 1, 20c-24. 27a</t>
  </si>
  <si>
    <t>Aleluya Cf. Hch 16, 14b</t>
  </si>
  <si>
    <t> Lectura del santo evangelio según san Mateo 20, 1-16</t>
  </si>
  <si>
    <t>Lectura de la profecía de Ezequiel 18, 25-28</t>
  </si>
  <si>
    <t>Salmo responsorial: Salmo 24, 4bc-5. 6-7. 8-9 (R.: 6a)</t>
  </si>
  <si>
    <t xml:space="preserve">Lectura de la carta del apóstol san Pablo a los Filipenses 2, 1-11 / Lectura de la carta del apóstol san Pablo a los Filipenses 2, 1-5
</t>
  </si>
  <si>
    <t>Aleluya Jn 10, 27</t>
  </si>
  <si>
    <t> Lectura del santo evangelio según san Mateo 21, 28-32</t>
  </si>
  <si>
    <t>Lectura del libro de Isaías: 5, 1-7</t>
  </si>
  <si>
    <t>Salmo responsorial: Salmo 79, 9 y 12. 13-14. 15-16. 19-20 (R.: Is 5,71)</t>
  </si>
  <si>
    <t>Lectura de la carta del apóstol san Pablo a los Filipenses 4, 6-9</t>
  </si>
  <si>
    <t>Aleluya Cf. Jn 15, 16</t>
  </si>
  <si>
    <t> Lectura del santo evangelio según san Mateo 21, 33-43</t>
  </si>
  <si>
    <t>Lectura del libro de Isaías 25, 6-10a</t>
  </si>
  <si>
    <t>Salmo responsorial: Salmo 22, 1-3a. 3b-4. 5. 6 (R.: 6cd)</t>
  </si>
  <si>
    <t>Lectura de la carta del apóstol san Pablo a los Filipenses 4, 12-14. 19-20</t>
  </si>
  <si>
    <t> Lectura del santo evangelio según san Mateo 22, 1-14</t>
  </si>
  <si>
    <t> Lectura del santo evangelio según san Mateo 22, 1-10</t>
  </si>
  <si>
    <t>Lectura del libro de Isaías 45, 1. 4-6</t>
  </si>
  <si>
    <t>Salmo responsorial: Salmo 95, 1 y 3. 4-5. 7-8. 9-10a y c (R.: 7b)</t>
  </si>
  <si>
    <t>Lectura de la primera carta del apóstol san Pablo a los Tesalonicenses 1, 1-5b</t>
  </si>
  <si>
    <t>Aleluya Flp 2, 15d. 16a</t>
  </si>
  <si>
    <t> Lectura del santo evangelio según san Mateo 22, 15-21</t>
  </si>
  <si>
    <t>Lectura del libro del Éxodo 22, 20-26</t>
  </si>
  <si>
    <t>Salmo responsorial: Salmo 17, 2-3a. 3bc-4. 47 y 51ab (R.: 2)</t>
  </si>
  <si>
    <t>Lectura de la primera carta del apóstol san Pablo a los Tesalonicenses 1, 5c-10</t>
  </si>
  <si>
    <t>Aleluya Jn 14, 23</t>
  </si>
  <si>
    <t> Lectura del santo evangelio según san Mateo 22, 34-40</t>
  </si>
  <si>
    <t>Lectura de la profecía de Malaquías 1, 14b—2, 2b. 8-10</t>
  </si>
  <si>
    <t>Salmo responsorial: Salmo 130, 1. 2. 3</t>
  </si>
  <si>
    <t>Lectura de la primera carta del apóstol san Pablo a los Tesalonicenses 2, 7b-9. 13</t>
  </si>
  <si>
    <t>Aleluya Mt 23, 9b. 10b</t>
  </si>
  <si>
    <t> Lectura del santo evangelio según san Mateo 23, 1-12</t>
  </si>
  <si>
    <t>Lectura del libro de la Sabiduría 6, 12-16</t>
  </si>
  <si>
    <t>Salmo responsorial: Salmo 62, 2. 3-4. 5-6. 7-8 (R.: 2b)</t>
  </si>
  <si>
    <t>Lectura de la primera carta del apóstol san Pablo a los Tesalonicenses 4, 13-18</t>
  </si>
  <si>
    <t>Aleluya Mt 24, 42a. 44</t>
  </si>
  <si>
    <t> Lectura del santo evangelio según san Mateo 25, 1-13</t>
  </si>
  <si>
    <t>Lectura del libro de los Proverbios 31, 10-13. 19-20. 30-31</t>
  </si>
  <si>
    <t>Salmo responsorial: Salmo 127, 1-2. 3. 4-5 (R.: 1a)</t>
  </si>
  <si>
    <t>Lectura de la primera carta del apóstol san Pablo a los Tesalonicenses 5, 1-6</t>
  </si>
  <si>
    <t>Aleluya Jn 15, 4a. 5b</t>
  </si>
  <si>
    <t> Lectura del santo evangelio según san Mateo 25, 14-30</t>
  </si>
  <si>
    <t> Lectura del santo evangelio según san Mateo 25, 14-15. 19-21</t>
  </si>
  <si>
    <t>Lectura de la profecía de Ezequiel 34, 11-12. 15-17</t>
  </si>
  <si>
    <t>Salmo responsorial: 22, 1-2a. 2b-3. 5-6 (R.: 1)</t>
  </si>
  <si>
    <t>Lectura de la primera carta del apóstol san Pablo a los Corintios 15, 20-26. 28</t>
  </si>
  <si>
    <t>Aleluya Mc 11, 9b-10a</t>
  </si>
  <si>
    <t> Lectura del santo evangelio según san Mateo 25, 31-46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</si>
</sst>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38</xdr:row>
      <xdr:rowOff>0</xdr:rowOff>
    </xdr:from>
    <xdr:to>
      <xdr:col>9</xdr:col>
      <xdr:colOff>114300</xdr:colOff>
      <xdr:row>38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6DC618B-7EC9-418F-9DC5-2AD63C1765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9800" y="7239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39</xdr:row>
      <xdr:rowOff>0</xdr:rowOff>
    </xdr:from>
    <xdr:to>
      <xdr:col>9</xdr:col>
      <xdr:colOff>114300</xdr:colOff>
      <xdr:row>39</xdr:row>
      <xdr:rowOff>114300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D060D66-FDDA-496F-826A-C12CA59BEF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9800" y="74295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40</xdr:row>
      <xdr:rowOff>0</xdr:rowOff>
    </xdr:from>
    <xdr:to>
      <xdr:col>9</xdr:col>
      <xdr:colOff>114300</xdr:colOff>
      <xdr:row>40</xdr:row>
      <xdr:rowOff>114300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17E44BC-D0DF-4C87-9A36-2BA23BE84B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9800" y="7620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40</xdr:row>
      <xdr:rowOff>0</xdr:rowOff>
    </xdr:from>
    <xdr:to>
      <xdr:col>10</xdr:col>
      <xdr:colOff>114300</xdr:colOff>
      <xdr:row>40</xdr:row>
      <xdr:rowOff>114300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22B1EC6-4F3A-4C5B-A047-F865E84100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97225" y="7620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41</xdr:row>
      <xdr:rowOff>0</xdr:rowOff>
    </xdr:from>
    <xdr:to>
      <xdr:col>9</xdr:col>
      <xdr:colOff>114300</xdr:colOff>
      <xdr:row>41</xdr:row>
      <xdr:rowOff>114300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6ED815E1-5081-41A7-8BF2-33A8BF0EA4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9800" y="78105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42</xdr:row>
      <xdr:rowOff>0</xdr:rowOff>
    </xdr:from>
    <xdr:to>
      <xdr:col>9</xdr:col>
      <xdr:colOff>114300</xdr:colOff>
      <xdr:row>42</xdr:row>
      <xdr:rowOff>114300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EED3D3D-C863-4CBB-AE16-41EEDE31D2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9800" y="8001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43</xdr:row>
      <xdr:rowOff>0</xdr:rowOff>
    </xdr:from>
    <xdr:to>
      <xdr:col>9</xdr:col>
      <xdr:colOff>114300</xdr:colOff>
      <xdr:row>43</xdr:row>
      <xdr:rowOff>114300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C04A64CE-8638-49C2-9646-6B3CE5EEDF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9800" y="81915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44</xdr:row>
      <xdr:rowOff>0</xdr:rowOff>
    </xdr:from>
    <xdr:to>
      <xdr:col>9</xdr:col>
      <xdr:colOff>114300</xdr:colOff>
      <xdr:row>44</xdr:row>
      <xdr:rowOff>114300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DCF5C032-7B68-4F15-B4D6-4C47A98123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9800" y="8382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45</xdr:row>
      <xdr:rowOff>0</xdr:rowOff>
    </xdr:from>
    <xdr:to>
      <xdr:col>9</xdr:col>
      <xdr:colOff>114300</xdr:colOff>
      <xdr:row>45</xdr:row>
      <xdr:rowOff>114300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BD455A0D-74D4-4B7D-8A1F-9B053D5953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9800" y="85725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46</xdr:row>
      <xdr:rowOff>0</xdr:rowOff>
    </xdr:from>
    <xdr:to>
      <xdr:col>9</xdr:col>
      <xdr:colOff>114300</xdr:colOff>
      <xdr:row>46</xdr:row>
      <xdr:rowOff>114300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E20B856A-0890-414B-84FE-FD7C286BAE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9800" y="8763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47</xdr:row>
      <xdr:rowOff>0</xdr:rowOff>
    </xdr:from>
    <xdr:to>
      <xdr:col>9</xdr:col>
      <xdr:colOff>114300</xdr:colOff>
      <xdr:row>47</xdr:row>
      <xdr:rowOff>114300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3BA6BA08-D2A1-4F3D-B52A-FCA735B675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9800" y="89535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48</xdr:row>
      <xdr:rowOff>0</xdr:rowOff>
    </xdr:from>
    <xdr:to>
      <xdr:col>9</xdr:col>
      <xdr:colOff>114300</xdr:colOff>
      <xdr:row>48</xdr:row>
      <xdr:rowOff>114300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5BC7413C-1204-409C-9942-409DCF1CDF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9800" y="9144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49</xdr:row>
      <xdr:rowOff>0</xdr:rowOff>
    </xdr:from>
    <xdr:to>
      <xdr:col>9</xdr:col>
      <xdr:colOff>114300</xdr:colOff>
      <xdr:row>49</xdr:row>
      <xdr:rowOff>114300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30E25C08-B6F9-4651-A19A-C3CE6BE7EB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9800" y="93345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49</xdr:row>
      <xdr:rowOff>0</xdr:rowOff>
    </xdr:from>
    <xdr:to>
      <xdr:col>10</xdr:col>
      <xdr:colOff>114300</xdr:colOff>
      <xdr:row>49</xdr:row>
      <xdr:rowOff>114300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A41B4CD-7320-48EA-90D7-E882D9107A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97225" y="93345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50</xdr:row>
      <xdr:rowOff>0</xdr:rowOff>
    </xdr:from>
    <xdr:to>
      <xdr:col>9</xdr:col>
      <xdr:colOff>114300</xdr:colOff>
      <xdr:row>50</xdr:row>
      <xdr:rowOff>114300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D3EE709C-501E-4238-B92E-403E124E2E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9800" y="9525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50</xdr:row>
      <xdr:rowOff>0</xdr:rowOff>
    </xdr:from>
    <xdr:to>
      <xdr:col>10</xdr:col>
      <xdr:colOff>114300</xdr:colOff>
      <xdr:row>50</xdr:row>
      <xdr:rowOff>114300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50831A5E-427E-47F5-AA4E-55B850A085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97225" y="9525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51</xdr:row>
      <xdr:rowOff>0</xdr:rowOff>
    </xdr:from>
    <xdr:to>
      <xdr:col>9</xdr:col>
      <xdr:colOff>114300</xdr:colOff>
      <xdr:row>51</xdr:row>
      <xdr:rowOff>114300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2FC3C798-BC5D-4F11-B979-5C186C2CA3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9800" y="97155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51</xdr:row>
      <xdr:rowOff>0</xdr:rowOff>
    </xdr:from>
    <xdr:to>
      <xdr:col>10</xdr:col>
      <xdr:colOff>114300</xdr:colOff>
      <xdr:row>51</xdr:row>
      <xdr:rowOff>114300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96A6FD78-18E5-4AED-A179-8EF451192B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97225" y="97155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52</xdr:row>
      <xdr:rowOff>0</xdr:rowOff>
    </xdr:from>
    <xdr:to>
      <xdr:col>9</xdr:col>
      <xdr:colOff>114300</xdr:colOff>
      <xdr:row>52</xdr:row>
      <xdr:rowOff>114300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9C86F0AD-2362-4BF2-8718-5496EA4355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9800" y="9906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53</xdr:row>
      <xdr:rowOff>0</xdr:rowOff>
    </xdr:from>
    <xdr:to>
      <xdr:col>9</xdr:col>
      <xdr:colOff>114300</xdr:colOff>
      <xdr:row>53</xdr:row>
      <xdr:rowOff>114300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F317D62B-1C92-444B-BD8B-67507A35C2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9800" y="100965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54</xdr:row>
      <xdr:rowOff>0</xdr:rowOff>
    </xdr:from>
    <xdr:to>
      <xdr:col>9</xdr:col>
      <xdr:colOff>114300</xdr:colOff>
      <xdr:row>54</xdr:row>
      <xdr:rowOff>114300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112DB2FD-65C3-4057-8C85-1F23DCF333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9800" y="10287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55</xdr:row>
      <xdr:rowOff>0</xdr:rowOff>
    </xdr:from>
    <xdr:to>
      <xdr:col>9</xdr:col>
      <xdr:colOff>114300</xdr:colOff>
      <xdr:row>55</xdr:row>
      <xdr:rowOff>114300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6D73D231-D2A5-4BCD-A75F-DE3CE03DA9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9800" y="104775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56</xdr:row>
      <xdr:rowOff>0</xdr:rowOff>
    </xdr:from>
    <xdr:to>
      <xdr:col>9</xdr:col>
      <xdr:colOff>114300</xdr:colOff>
      <xdr:row>56</xdr:row>
      <xdr:rowOff>114300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B01FA5C8-97DC-4465-9567-D5CC72C343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9800" y="10668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57</xdr:row>
      <xdr:rowOff>0</xdr:rowOff>
    </xdr:from>
    <xdr:to>
      <xdr:col>9</xdr:col>
      <xdr:colOff>114300</xdr:colOff>
      <xdr:row>57</xdr:row>
      <xdr:rowOff>114300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1E3E6AF8-897F-4A98-867B-0F0AD2A652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9800" y="108585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58</xdr:row>
      <xdr:rowOff>0</xdr:rowOff>
    </xdr:from>
    <xdr:to>
      <xdr:col>9</xdr:col>
      <xdr:colOff>114300</xdr:colOff>
      <xdr:row>58</xdr:row>
      <xdr:rowOff>114300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97FB2797-7DA7-4C55-94BC-E89492FE1C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9800" y="11049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59</xdr:row>
      <xdr:rowOff>0</xdr:rowOff>
    </xdr:from>
    <xdr:to>
      <xdr:col>9</xdr:col>
      <xdr:colOff>114300</xdr:colOff>
      <xdr:row>59</xdr:row>
      <xdr:rowOff>114300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59E50D24-2C9C-40D2-9E50-7B376C77DB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9800" y="112395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60</xdr:row>
      <xdr:rowOff>0</xdr:rowOff>
    </xdr:from>
    <xdr:to>
      <xdr:col>9</xdr:col>
      <xdr:colOff>114300</xdr:colOff>
      <xdr:row>60</xdr:row>
      <xdr:rowOff>114300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95602B2C-40B9-49AD-8898-4C3DC208C3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9800" y="11430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61</xdr:row>
      <xdr:rowOff>0</xdr:rowOff>
    </xdr:from>
    <xdr:to>
      <xdr:col>9</xdr:col>
      <xdr:colOff>114300</xdr:colOff>
      <xdr:row>61</xdr:row>
      <xdr:rowOff>114300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BC325963-B308-4D6B-A208-541444E934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9800" y="116205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62</xdr:row>
      <xdr:rowOff>0</xdr:rowOff>
    </xdr:from>
    <xdr:to>
      <xdr:col>9</xdr:col>
      <xdr:colOff>114300</xdr:colOff>
      <xdr:row>62</xdr:row>
      <xdr:rowOff>114300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36BCABEF-4330-41EC-951A-0B3CF74860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9800" y="11811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62</xdr:row>
      <xdr:rowOff>0</xdr:rowOff>
    </xdr:from>
    <xdr:to>
      <xdr:col>10</xdr:col>
      <xdr:colOff>114300</xdr:colOff>
      <xdr:row>62</xdr:row>
      <xdr:rowOff>114300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B328A4F4-3169-4248-8A96-3AD2B9366E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97225" y="11811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63</xdr:row>
      <xdr:rowOff>0</xdr:rowOff>
    </xdr:from>
    <xdr:to>
      <xdr:col>9</xdr:col>
      <xdr:colOff>114300</xdr:colOff>
      <xdr:row>63</xdr:row>
      <xdr:rowOff>114300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003FC3A7-88AC-470D-BBF9-8B5F83CB92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9800" y="120015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64</xdr:row>
      <xdr:rowOff>0</xdr:rowOff>
    </xdr:from>
    <xdr:to>
      <xdr:col>9</xdr:col>
      <xdr:colOff>114300</xdr:colOff>
      <xdr:row>64</xdr:row>
      <xdr:rowOff>114300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70AED869-1B10-4297-9854-994705210F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9800" y="12192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65</xdr:row>
      <xdr:rowOff>0</xdr:rowOff>
    </xdr:from>
    <xdr:to>
      <xdr:col>9</xdr:col>
      <xdr:colOff>114300</xdr:colOff>
      <xdr:row>65</xdr:row>
      <xdr:rowOff>114300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2691A35A-00D6-4B4E-99E1-CB2F13494C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9800" y="123825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66</xdr:row>
      <xdr:rowOff>0</xdr:rowOff>
    </xdr:from>
    <xdr:to>
      <xdr:col>9</xdr:col>
      <xdr:colOff>114300</xdr:colOff>
      <xdr:row>66</xdr:row>
      <xdr:rowOff>114300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1F9002A7-7797-4FEE-A2CC-AC6AC9D8E1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9800" y="12573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67</xdr:row>
      <xdr:rowOff>0</xdr:rowOff>
    </xdr:from>
    <xdr:to>
      <xdr:col>9</xdr:col>
      <xdr:colOff>114300</xdr:colOff>
      <xdr:row>67</xdr:row>
      <xdr:rowOff>114300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AB88098A-EDC3-401E-A626-D131333689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9800" y="127635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67</xdr:row>
      <xdr:rowOff>0</xdr:rowOff>
    </xdr:from>
    <xdr:to>
      <xdr:col>10</xdr:col>
      <xdr:colOff>114300</xdr:colOff>
      <xdr:row>67</xdr:row>
      <xdr:rowOff>114300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E99F3B4D-13EC-42B9-AC22-3AECD7D5EA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97225" y="127635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68</xdr:row>
      <xdr:rowOff>0</xdr:rowOff>
    </xdr:from>
    <xdr:to>
      <xdr:col>9</xdr:col>
      <xdr:colOff>114300</xdr:colOff>
      <xdr:row>68</xdr:row>
      <xdr:rowOff>114300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7AF4A980-5B44-464E-8853-731647C798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9800" y="12954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7784B-C798-496E-A6B3-57618E77EBE8}">
  <dimension ref="A1:M114"/>
  <sheetViews>
    <sheetView tabSelected="1" topLeftCell="A43" zoomScale="175" zoomScaleNormal="175" workbookViewId="0">
      <selection activeCell="C50" sqref="C50"/>
    </sheetView>
  </sheetViews>
  <sheetFormatPr defaultRowHeight="15" x14ac:dyDescent="0.25"/>
  <cols>
    <col min="2" max="2" width="12.42578125" bestFit="1" customWidth="1"/>
    <col min="3" max="3" width="44.28515625" bestFit="1" customWidth="1"/>
    <col min="4" max="4" width="19.42578125" bestFit="1" customWidth="1"/>
    <col min="5" max="5" width="31.140625" bestFit="1" customWidth="1"/>
    <col min="6" max="6" width="37.5703125" bestFit="1" customWidth="1"/>
    <col min="7" max="7" width="15" customWidth="1"/>
    <col min="8" max="8" width="27.42578125" bestFit="1" customWidth="1"/>
    <col min="9" max="9" width="8.140625" customWidth="1"/>
    <col min="10" max="11" width="33.85546875" customWidth="1"/>
  </cols>
  <sheetData>
    <row r="1" spans="2:11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J1" t="s">
        <v>6</v>
      </c>
    </row>
    <row r="2" spans="2:11" x14ac:dyDescent="0.25"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  <c r="H2" t="str">
        <f t="shared" ref="H2:H5" si="0">IF(K2="",J2,_xlfn.CONCAT(J2," / ",K2))</f>
        <v>Mateo 24, 37-44</v>
      </c>
      <c r="J2" t="s">
        <v>13</v>
      </c>
    </row>
    <row r="3" spans="2:11" x14ac:dyDescent="0.25">
      <c r="B3" t="s">
        <v>7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  <c r="H3" t="str">
        <f t="shared" si="0"/>
        <v>Mateo: 3, 1-12</v>
      </c>
      <c r="J3" t="s">
        <v>19</v>
      </c>
    </row>
    <row r="4" spans="2:11" x14ac:dyDescent="0.25">
      <c r="B4" t="s">
        <v>7</v>
      </c>
      <c r="C4" t="s">
        <v>20</v>
      </c>
      <c r="D4" t="s">
        <v>21</v>
      </c>
      <c r="E4" t="s">
        <v>22</v>
      </c>
      <c r="F4" t="s">
        <v>23</v>
      </c>
      <c r="G4" t="s">
        <v>24</v>
      </c>
      <c r="H4" t="str">
        <f t="shared" si="0"/>
        <v>Mateo 11, 2-11</v>
      </c>
      <c r="J4" t="s">
        <v>25</v>
      </c>
    </row>
    <row r="5" spans="2:11" x14ac:dyDescent="0.25">
      <c r="B5" t="s">
        <v>7</v>
      </c>
      <c r="C5" t="s">
        <v>26</v>
      </c>
      <c r="D5" t="s">
        <v>27</v>
      </c>
      <c r="E5" t="s">
        <v>28</v>
      </c>
      <c r="F5" t="s">
        <v>29</v>
      </c>
      <c r="G5" t="s">
        <v>30</v>
      </c>
      <c r="H5" t="str">
        <f t="shared" si="0"/>
        <v>Mateo 1, 18-24</v>
      </c>
      <c r="J5" t="s">
        <v>31</v>
      </c>
    </row>
    <row r="6" spans="2:11" x14ac:dyDescent="0.25">
      <c r="B6" t="s">
        <v>32</v>
      </c>
      <c r="C6" t="s">
        <v>33</v>
      </c>
      <c r="D6" t="s">
        <v>34</v>
      </c>
      <c r="E6" t="s">
        <v>35</v>
      </c>
      <c r="F6" t="s">
        <v>36</v>
      </c>
      <c r="G6" t="s">
        <v>37</v>
      </c>
      <c r="H6" t="str">
        <f>IF(K6="",J6,_xlfn.CONCAT(J6," / ",K6))</f>
        <v>Mateo 1, 1-25 / Mateo 1, 18-25</v>
      </c>
      <c r="J6" t="s">
        <v>38</v>
      </c>
      <c r="K6" t="s">
        <v>39</v>
      </c>
    </row>
    <row r="7" spans="2:11" x14ac:dyDescent="0.25">
      <c r="B7" t="s">
        <v>32</v>
      </c>
      <c r="C7" t="s">
        <v>40</v>
      </c>
      <c r="D7" t="s">
        <v>41</v>
      </c>
      <c r="E7" t="s">
        <v>42</v>
      </c>
      <c r="F7" t="s">
        <v>43</v>
      </c>
      <c r="G7" t="s">
        <v>44</v>
      </c>
      <c r="H7" t="str">
        <f t="shared" ref="H7:H70" si="1">IF(K7="",J7,_xlfn.CONCAT(J7," / ",K7))</f>
        <v>Lucas 2, 1-14</v>
      </c>
      <c r="J7" t="s">
        <v>45</v>
      </c>
    </row>
    <row r="8" spans="2:11" x14ac:dyDescent="0.25">
      <c r="B8" t="s">
        <v>32</v>
      </c>
      <c r="C8" t="s">
        <v>46</v>
      </c>
      <c r="D8" t="s">
        <v>47</v>
      </c>
      <c r="E8" t="s">
        <v>48</v>
      </c>
      <c r="F8" t="s">
        <v>49</v>
      </c>
      <c r="G8" t="s">
        <v>50</v>
      </c>
      <c r="H8" t="str">
        <f t="shared" si="1"/>
        <v>Lucas 2, 15-20</v>
      </c>
      <c r="J8" t="s">
        <v>51</v>
      </c>
    </row>
    <row r="9" spans="2:11" x14ac:dyDescent="0.25">
      <c r="B9" t="s">
        <v>32</v>
      </c>
      <c r="C9" t="s">
        <v>52</v>
      </c>
      <c r="D9" t="s">
        <v>53</v>
      </c>
      <c r="E9" t="s">
        <v>54</v>
      </c>
      <c r="F9" t="s">
        <v>55</v>
      </c>
      <c r="G9" t="s">
        <v>56</v>
      </c>
      <c r="H9" t="str">
        <f t="shared" si="1"/>
        <v>Juan 1, 1-18 / Juan 1, 1-5. 9-14</v>
      </c>
      <c r="J9" t="s">
        <v>57</v>
      </c>
      <c r="K9" t="s">
        <v>58</v>
      </c>
    </row>
    <row r="10" spans="2:11" x14ac:dyDescent="0.25">
      <c r="B10" t="s">
        <v>7</v>
      </c>
      <c r="C10" t="s">
        <v>59</v>
      </c>
      <c r="D10" t="s">
        <v>60</v>
      </c>
      <c r="E10" t="s">
        <v>61</v>
      </c>
      <c r="F10" t="s">
        <v>62</v>
      </c>
      <c r="G10" t="s">
        <v>63</v>
      </c>
      <c r="H10" t="str">
        <f t="shared" si="1"/>
        <v>Mateo 2, 13-15. 19-23</v>
      </c>
      <c r="J10" t="s">
        <v>64</v>
      </c>
    </row>
    <row r="11" spans="2:11" x14ac:dyDescent="0.25">
      <c r="B11" t="s">
        <v>65</v>
      </c>
      <c r="C11" t="s">
        <v>66</v>
      </c>
      <c r="D11" t="s">
        <v>67</v>
      </c>
      <c r="E11" t="s">
        <v>68</v>
      </c>
      <c r="F11" t="s">
        <v>69</v>
      </c>
      <c r="G11" t="s">
        <v>70</v>
      </c>
      <c r="H11" t="str">
        <f t="shared" si="1"/>
        <v>Lucas 2, 16-21</v>
      </c>
      <c r="J11" t="s">
        <v>71</v>
      </c>
    </row>
    <row r="12" spans="2:11" x14ac:dyDescent="0.25">
      <c r="B12" t="s">
        <v>32</v>
      </c>
      <c r="C12" t="s">
        <v>72</v>
      </c>
      <c r="D12" t="s">
        <v>73</v>
      </c>
      <c r="E12" t="s">
        <v>74</v>
      </c>
      <c r="F12" t="s">
        <v>75</v>
      </c>
      <c r="G12" t="s">
        <v>76</v>
      </c>
      <c r="H12" t="str">
        <f t="shared" si="1"/>
        <v>Juan 1, 1-18 / Juan 1, 1-5. 9-14</v>
      </c>
      <c r="J12" t="s">
        <v>57</v>
      </c>
      <c r="K12" t="s">
        <v>58</v>
      </c>
    </row>
    <row r="13" spans="2:11" x14ac:dyDescent="0.25">
      <c r="B13" t="s">
        <v>77</v>
      </c>
      <c r="C13" t="s">
        <v>78</v>
      </c>
      <c r="D13" t="s">
        <v>79</v>
      </c>
      <c r="E13" t="s">
        <v>80</v>
      </c>
      <c r="F13" t="s">
        <v>81</v>
      </c>
      <c r="G13" t="s">
        <v>82</v>
      </c>
      <c r="H13" t="str">
        <f t="shared" si="1"/>
        <v>Mateo 2, 1-12</v>
      </c>
      <c r="J13" t="s">
        <v>83</v>
      </c>
    </row>
    <row r="14" spans="2:11" x14ac:dyDescent="0.25">
      <c r="B14" t="s">
        <v>7</v>
      </c>
      <c r="C14" t="s">
        <v>84</v>
      </c>
      <c r="D14" t="s">
        <v>85</v>
      </c>
      <c r="E14" t="s">
        <v>86</v>
      </c>
      <c r="F14" t="s">
        <v>87</v>
      </c>
      <c r="G14" t="s">
        <v>88</v>
      </c>
      <c r="H14" t="str">
        <f t="shared" si="1"/>
        <v>Mateo 3, 13-17</v>
      </c>
      <c r="J14" t="s">
        <v>89</v>
      </c>
    </row>
    <row r="15" spans="2:11" x14ac:dyDescent="0.25">
      <c r="B15" t="s">
        <v>7</v>
      </c>
      <c r="C15" t="s">
        <v>90</v>
      </c>
      <c r="D15" t="s">
        <v>91</v>
      </c>
      <c r="E15" t="s">
        <v>92</v>
      </c>
      <c r="F15" t="s">
        <v>93</v>
      </c>
      <c r="G15" t="s">
        <v>94</v>
      </c>
      <c r="H15" t="str">
        <f t="shared" si="1"/>
        <v>Mateo 4, 1-11</v>
      </c>
      <c r="J15" t="s">
        <v>95</v>
      </c>
    </row>
    <row r="16" spans="2:11" x14ac:dyDescent="0.25">
      <c r="B16" t="s">
        <v>7</v>
      </c>
      <c r="C16" t="s">
        <v>96</v>
      </c>
      <c r="D16" t="s">
        <v>97</v>
      </c>
      <c r="E16" t="s">
        <v>98</v>
      </c>
      <c r="F16" t="s">
        <v>99</v>
      </c>
      <c r="G16" t="s">
        <v>100</v>
      </c>
      <c r="H16" t="str">
        <f t="shared" si="1"/>
        <v>Mateo 17, 1-9</v>
      </c>
      <c r="J16" t="s">
        <v>101</v>
      </c>
    </row>
    <row r="17" spans="2:11" x14ac:dyDescent="0.25">
      <c r="B17" t="s">
        <v>7</v>
      </c>
      <c r="C17" t="s">
        <v>102</v>
      </c>
      <c r="D17" t="s">
        <v>103</v>
      </c>
      <c r="E17" t="s">
        <v>104</v>
      </c>
      <c r="F17" t="s">
        <v>105</v>
      </c>
      <c r="G17" t="s">
        <v>106</v>
      </c>
      <c r="H17" t="str">
        <f t="shared" si="1"/>
        <v>Juan 4, 5-42 / Juan 4, 5-15. 19b-26. 39a. 40-42</v>
      </c>
      <c r="J17" t="s">
        <v>107</v>
      </c>
      <c r="K17" t="s">
        <v>108</v>
      </c>
    </row>
    <row r="18" spans="2:11" x14ac:dyDescent="0.25">
      <c r="B18" t="s">
        <v>7</v>
      </c>
      <c r="C18" t="s">
        <v>109</v>
      </c>
      <c r="D18" t="s">
        <v>110</v>
      </c>
      <c r="E18" t="s">
        <v>111</v>
      </c>
      <c r="F18" t="s">
        <v>112</v>
      </c>
      <c r="G18" t="s">
        <v>113</v>
      </c>
      <c r="H18" t="str">
        <f t="shared" si="1"/>
        <v>Juan 9, 1-41 / Juan 9, 1. 6-9. 13-17. 34-38</v>
      </c>
      <c r="J18" t="s">
        <v>114</v>
      </c>
      <c r="K18" t="s">
        <v>115</v>
      </c>
    </row>
    <row r="19" spans="2:11" x14ac:dyDescent="0.25">
      <c r="B19" t="s">
        <v>7</v>
      </c>
      <c r="C19" t="s">
        <v>116</v>
      </c>
      <c r="D19" t="s">
        <v>117</v>
      </c>
      <c r="E19" t="s">
        <v>118</v>
      </c>
      <c r="F19" t="s">
        <v>119</v>
      </c>
      <c r="G19" t="s">
        <v>120</v>
      </c>
      <c r="H19" t="str">
        <f t="shared" si="1"/>
        <v>Juan 11, 1-45 / Juan 11, 3-7. 17. 20-27. 33b-45</v>
      </c>
      <c r="J19" t="s">
        <v>121</v>
      </c>
      <c r="K19" t="s">
        <v>122</v>
      </c>
    </row>
    <row r="20" spans="2:11" x14ac:dyDescent="0.25">
      <c r="B20" t="s">
        <v>7</v>
      </c>
      <c r="C20" t="s">
        <v>123</v>
      </c>
      <c r="D20" t="s">
        <v>124</v>
      </c>
      <c r="E20" t="s">
        <v>125</v>
      </c>
      <c r="F20" t="s">
        <v>126</v>
      </c>
      <c r="G20" t="s">
        <v>127</v>
      </c>
      <c r="H20" t="str">
        <f t="shared" si="1"/>
        <v>Mateo 26, 14—27, 66</v>
      </c>
      <c r="J20" t="s">
        <v>128</v>
      </c>
    </row>
    <row r="21" spans="2:11" x14ac:dyDescent="0.25">
      <c r="B21" t="s">
        <v>32</v>
      </c>
      <c r="C21" t="s">
        <v>129</v>
      </c>
      <c r="D21" t="s">
        <v>130</v>
      </c>
      <c r="E21" t="s">
        <v>131</v>
      </c>
      <c r="F21" t="s">
        <v>132</v>
      </c>
      <c r="G21" t="s">
        <v>133</v>
      </c>
      <c r="H21" t="str">
        <f t="shared" si="1"/>
        <v>Juan 13, 1-15</v>
      </c>
      <c r="J21" t="s">
        <v>134</v>
      </c>
    </row>
    <row r="22" spans="2:11" x14ac:dyDescent="0.25">
      <c r="B22" t="s">
        <v>32</v>
      </c>
      <c r="C22" t="s">
        <v>135</v>
      </c>
      <c r="D22" t="s">
        <v>136</v>
      </c>
      <c r="E22" t="s">
        <v>137</v>
      </c>
      <c r="F22" t="s">
        <v>138</v>
      </c>
      <c r="G22" t="s">
        <v>127</v>
      </c>
      <c r="H22" t="str">
        <f t="shared" si="1"/>
        <v>Juan 18, 1—19, 42</v>
      </c>
      <c r="J22" t="s">
        <v>139</v>
      </c>
    </row>
    <row r="23" spans="2:11" x14ac:dyDescent="0.25">
      <c r="B23" t="s">
        <v>7</v>
      </c>
      <c r="C23" t="s">
        <v>140</v>
      </c>
      <c r="D23" t="s">
        <v>141</v>
      </c>
      <c r="H23">
        <f t="shared" si="1"/>
        <v>0</v>
      </c>
    </row>
    <row r="24" spans="2:11" x14ac:dyDescent="0.25">
      <c r="B24" t="s">
        <v>32</v>
      </c>
      <c r="C24" t="s">
        <v>142</v>
      </c>
      <c r="D24" t="s">
        <v>143</v>
      </c>
      <c r="E24" t="s">
        <v>144</v>
      </c>
      <c r="F24" t="s">
        <v>145</v>
      </c>
      <c r="G24" t="s">
        <v>146</v>
      </c>
      <c r="H24" t="str">
        <f t="shared" si="1"/>
        <v>Juan 20, 1-9</v>
      </c>
      <c r="J24" t="s">
        <v>147</v>
      </c>
    </row>
    <row r="25" spans="2:11" x14ac:dyDescent="0.25">
      <c r="B25" t="s">
        <v>7</v>
      </c>
      <c r="C25" t="s">
        <v>148</v>
      </c>
      <c r="D25" t="s">
        <v>149</v>
      </c>
      <c r="E25" t="s">
        <v>150</v>
      </c>
      <c r="F25" t="s">
        <v>151</v>
      </c>
      <c r="G25" t="s">
        <v>152</v>
      </c>
      <c r="H25" t="str">
        <f t="shared" si="1"/>
        <v>Juan 20, 19-31</v>
      </c>
      <c r="J25" t="s">
        <v>153</v>
      </c>
    </row>
    <row r="26" spans="2:11" x14ac:dyDescent="0.25">
      <c r="B26" t="s">
        <v>7</v>
      </c>
      <c r="C26" t="s">
        <v>154</v>
      </c>
      <c r="D26" t="s">
        <v>155</v>
      </c>
      <c r="E26" t="s">
        <v>156</v>
      </c>
      <c r="F26" t="s">
        <v>157</v>
      </c>
      <c r="G26" t="s">
        <v>158</v>
      </c>
      <c r="H26" t="str">
        <f t="shared" si="1"/>
        <v>Lucas 24, 13-35</v>
      </c>
      <c r="J26" t="s">
        <v>159</v>
      </c>
    </row>
    <row r="27" spans="2:11" x14ac:dyDescent="0.25">
      <c r="B27" t="s">
        <v>7</v>
      </c>
      <c r="C27" t="s">
        <v>160</v>
      </c>
      <c r="D27" t="s">
        <v>161</v>
      </c>
      <c r="E27" t="s">
        <v>111</v>
      </c>
      <c r="F27" t="s">
        <v>162</v>
      </c>
      <c r="G27" t="s">
        <v>163</v>
      </c>
      <c r="H27" t="str">
        <f t="shared" si="1"/>
        <v>Juan 10, 1-10</v>
      </c>
      <c r="J27" t="s">
        <v>164</v>
      </c>
    </row>
    <row r="28" spans="2:11" x14ac:dyDescent="0.25">
      <c r="B28" t="s">
        <v>7</v>
      </c>
      <c r="C28" t="s">
        <v>165</v>
      </c>
      <c r="D28" t="s">
        <v>166</v>
      </c>
      <c r="E28" t="s">
        <v>167</v>
      </c>
      <c r="F28" t="s">
        <v>168</v>
      </c>
      <c r="G28" t="s">
        <v>169</v>
      </c>
      <c r="H28" t="str">
        <f t="shared" si="1"/>
        <v>Juan 14, 1-12</v>
      </c>
      <c r="J28" t="s">
        <v>170</v>
      </c>
    </row>
    <row r="29" spans="2:11" x14ac:dyDescent="0.25">
      <c r="B29" t="s">
        <v>7</v>
      </c>
      <c r="C29" t="s">
        <v>171</v>
      </c>
      <c r="D29" t="s">
        <v>172</v>
      </c>
      <c r="E29" t="s">
        <v>173</v>
      </c>
      <c r="F29" t="s">
        <v>174</v>
      </c>
      <c r="G29" t="s">
        <v>175</v>
      </c>
      <c r="H29" t="str">
        <f t="shared" si="1"/>
        <v>Juan 14, 15-21</v>
      </c>
      <c r="J29" t="s">
        <v>176</v>
      </c>
    </row>
    <row r="30" spans="2:11" x14ac:dyDescent="0.25">
      <c r="B30" t="s">
        <v>7</v>
      </c>
      <c r="C30" t="s">
        <v>177</v>
      </c>
      <c r="D30" t="s">
        <v>178</v>
      </c>
      <c r="E30" t="s">
        <v>179</v>
      </c>
      <c r="F30" t="s">
        <v>180</v>
      </c>
      <c r="G30" t="s">
        <v>181</v>
      </c>
      <c r="H30" t="str">
        <f t="shared" si="1"/>
        <v>Mateo 28, 16-20</v>
      </c>
      <c r="J30" t="s">
        <v>182</v>
      </c>
    </row>
    <row r="31" spans="2:11" x14ac:dyDescent="0.25">
      <c r="B31" t="s">
        <v>7</v>
      </c>
      <c r="C31" t="s">
        <v>183</v>
      </c>
      <c r="D31" t="s">
        <v>184</v>
      </c>
      <c r="E31" t="s">
        <v>185</v>
      </c>
      <c r="F31" t="s">
        <v>186</v>
      </c>
      <c r="G31" t="s">
        <v>187</v>
      </c>
      <c r="H31" t="str">
        <f t="shared" si="1"/>
        <v>Juan 17, 1-11</v>
      </c>
      <c r="J31" t="s">
        <v>188</v>
      </c>
    </row>
    <row r="32" spans="2:11" x14ac:dyDescent="0.25">
      <c r="B32" t="s">
        <v>7</v>
      </c>
      <c r="C32" t="s">
        <v>189</v>
      </c>
      <c r="D32" t="s">
        <v>190</v>
      </c>
      <c r="E32" t="s">
        <v>191</v>
      </c>
      <c r="F32" t="s">
        <v>192</v>
      </c>
      <c r="G32" t="s">
        <v>193</v>
      </c>
      <c r="H32" t="str">
        <f t="shared" si="1"/>
        <v>Juan 7, 37-39</v>
      </c>
      <c r="J32" t="s">
        <v>194</v>
      </c>
    </row>
    <row r="33" spans="1:13" x14ac:dyDescent="0.25">
      <c r="B33" t="s">
        <v>7</v>
      </c>
      <c r="C33" t="s">
        <v>195</v>
      </c>
      <c r="D33" t="s">
        <v>196</v>
      </c>
      <c r="E33" t="s">
        <v>197</v>
      </c>
      <c r="F33" t="s">
        <v>198</v>
      </c>
      <c r="G33" t="s">
        <v>199</v>
      </c>
      <c r="H33" t="str">
        <f t="shared" si="1"/>
        <v>Juan 20, 19-23</v>
      </c>
      <c r="J33" t="s">
        <v>200</v>
      </c>
    </row>
    <row r="34" spans="1:13" x14ac:dyDescent="0.25">
      <c r="B34" t="s">
        <v>7</v>
      </c>
      <c r="C34" t="s">
        <v>201</v>
      </c>
      <c r="D34" t="s">
        <v>202</v>
      </c>
      <c r="E34" t="s">
        <v>203</v>
      </c>
      <c r="F34" t="s">
        <v>204</v>
      </c>
      <c r="G34" t="s">
        <v>205</v>
      </c>
      <c r="H34" t="str">
        <f t="shared" si="1"/>
        <v>Juan 3,1 6-18</v>
      </c>
      <c r="J34" t="s">
        <v>206</v>
      </c>
    </row>
    <row r="35" spans="1:13" x14ac:dyDescent="0.25">
      <c r="B35" t="s">
        <v>7</v>
      </c>
      <c r="C35" t="s">
        <v>207</v>
      </c>
      <c r="D35" t="s">
        <v>208</v>
      </c>
      <c r="E35" t="s">
        <v>74</v>
      </c>
      <c r="F35" t="s">
        <v>209</v>
      </c>
      <c r="G35" t="s">
        <v>210</v>
      </c>
      <c r="H35" t="str">
        <f t="shared" si="1"/>
        <v>Juan 6, 51-58</v>
      </c>
      <c r="J35" t="s">
        <v>211</v>
      </c>
      <c r="M35" t="s">
        <v>212</v>
      </c>
    </row>
    <row r="36" spans="1:13" x14ac:dyDescent="0.25">
      <c r="B36" t="s">
        <v>7</v>
      </c>
      <c r="C36" t="s">
        <v>213</v>
      </c>
      <c r="D36" t="s">
        <v>214</v>
      </c>
      <c r="E36" t="s">
        <v>215</v>
      </c>
      <c r="F36" t="s">
        <v>216</v>
      </c>
      <c r="G36" t="s">
        <v>217</v>
      </c>
      <c r="H36" t="str">
        <f t="shared" si="1"/>
        <v>Mateo 11, 25-30</v>
      </c>
      <c r="J36" t="s">
        <v>218</v>
      </c>
      <c r="M36" t="s">
        <v>219</v>
      </c>
    </row>
    <row r="37" spans="1:13" x14ac:dyDescent="0.25">
      <c r="A37">
        <v>1</v>
      </c>
      <c r="B37" t="s">
        <v>7</v>
      </c>
      <c r="C37" t="str">
        <f>_xlfn.CONCAT("Domingo de la ",1+A37,"ª semana de Tiempo Ordinario")</f>
        <v>Domingo de la 2ª semana de Tiempo Ordinario</v>
      </c>
      <c r="D37" t="s">
        <v>220</v>
      </c>
      <c r="E37" t="s">
        <v>221</v>
      </c>
      <c r="F37" t="s">
        <v>222</v>
      </c>
      <c r="G37" t="s">
        <v>223</v>
      </c>
      <c r="H37" t="str">
        <f t="shared" si="1"/>
        <v>Juan 1, 29-34</v>
      </c>
      <c r="J37" t="s">
        <v>224</v>
      </c>
    </row>
    <row r="38" spans="1:13" x14ac:dyDescent="0.25">
      <c r="A38">
        <v>2</v>
      </c>
      <c r="B38" t="s">
        <v>7</v>
      </c>
      <c r="C38" t="str">
        <f>_xlfn.CONCAT("Domingo de la ",1+A38,"ª semana de Tiempo Ordinario")</f>
        <v>Domingo de la 3ª semana de Tiempo Ordinario</v>
      </c>
      <c r="D38" t="s">
        <v>225</v>
      </c>
      <c r="E38" t="s">
        <v>226</v>
      </c>
      <c r="F38" t="s">
        <v>227</v>
      </c>
      <c r="G38" t="s">
        <v>228</v>
      </c>
      <c r="H38" t="str">
        <f t="shared" si="1"/>
        <v>Mateo 4, 12-23 / Mateo 4, 12-17</v>
      </c>
      <c r="J38" t="s">
        <v>229</v>
      </c>
      <c r="K38" t="s">
        <v>230</v>
      </c>
    </row>
    <row r="39" spans="1:13" x14ac:dyDescent="0.25">
      <c r="A39">
        <v>3</v>
      </c>
      <c r="B39" t="s">
        <v>7</v>
      </c>
      <c r="C39" t="str">
        <f t="shared" ref="C39:C86" si="2">_xlfn.CONCAT("Domingo de la ",1+A39,"ª semana de Tiempo Ordinario")</f>
        <v>Domingo de la 4ª semana de Tiempo Ordinario</v>
      </c>
      <c r="D39" t="s">
        <v>231</v>
      </c>
      <c r="E39" t="s">
        <v>232</v>
      </c>
      <c r="F39" t="s">
        <v>233</v>
      </c>
      <c r="G39" t="s">
        <v>234</v>
      </c>
      <c r="H39" t="str">
        <f t="shared" si="1"/>
        <v> Lectura del santo evangelio según san Mateo 5, 1-12a</v>
      </c>
      <c r="J39" t="s">
        <v>235</v>
      </c>
    </row>
    <row r="40" spans="1:13" x14ac:dyDescent="0.25">
      <c r="A40">
        <v>4</v>
      </c>
      <c r="B40" t="s">
        <v>7</v>
      </c>
      <c r="C40" t="str">
        <f t="shared" si="2"/>
        <v>Domingo de la 5ª semana de Tiempo Ordinario</v>
      </c>
      <c r="D40" t="s">
        <v>236</v>
      </c>
      <c r="E40" t="s">
        <v>237</v>
      </c>
      <c r="F40" t="s">
        <v>238</v>
      </c>
      <c r="G40" t="s">
        <v>239</v>
      </c>
      <c r="H40" t="str">
        <f t="shared" si="1"/>
        <v> Lectura del santo evangelio según san Mateo 5, 13-16</v>
      </c>
      <c r="J40" t="s">
        <v>240</v>
      </c>
    </row>
    <row r="41" spans="1:13" x14ac:dyDescent="0.25">
      <c r="A41">
        <v>5</v>
      </c>
      <c r="B41" t="s">
        <v>7</v>
      </c>
      <c r="C41" t="str">
        <f t="shared" si="2"/>
        <v>Domingo de la 6ª semana de Tiempo Ordinario</v>
      </c>
      <c r="D41" t="s">
        <v>241</v>
      </c>
      <c r="E41" t="s">
        <v>242</v>
      </c>
      <c r="F41" t="s">
        <v>243</v>
      </c>
      <c r="G41" t="s">
        <v>244</v>
      </c>
      <c r="H41" t="str">
        <f t="shared" si="1"/>
        <v> Lectura del santo evangelio según san Mateo 5, 17-37 /  Lectura del santo evangelio según san Mateo 5, 20-22a. 27-28. 33-34a. 37</v>
      </c>
      <c r="J41" t="s">
        <v>245</v>
      </c>
      <c r="K41" t="s">
        <v>246</v>
      </c>
    </row>
    <row r="42" spans="1:13" x14ac:dyDescent="0.25">
      <c r="A42">
        <v>6</v>
      </c>
      <c r="B42" t="s">
        <v>7</v>
      </c>
      <c r="C42" t="str">
        <f t="shared" si="2"/>
        <v>Domingo de la 7ª semana de Tiempo Ordinario</v>
      </c>
      <c r="D42" t="s">
        <v>247</v>
      </c>
      <c r="E42" t="s">
        <v>248</v>
      </c>
      <c r="F42" t="s">
        <v>249</v>
      </c>
      <c r="G42" t="s">
        <v>250</v>
      </c>
      <c r="H42" t="str">
        <f t="shared" si="1"/>
        <v> Lectura del santo evangelio según san Mateo 5, 38-48</v>
      </c>
      <c r="J42" t="s">
        <v>251</v>
      </c>
    </row>
    <row r="43" spans="1:13" x14ac:dyDescent="0.25">
      <c r="A43">
        <v>7</v>
      </c>
      <c r="B43" t="s">
        <v>7</v>
      </c>
      <c r="C43" t="str">
        <f t="shared" si="2"/>
        <v>Domingo de la 8ª semana de Tiempo Ordinario</v>
      </c>
      <c r="D43" t="s">
        <v>252</v>
      </c>
      <c r="E43" t="s">
        <v>253</v>
      </c>
      <c r="F43" t="s">
        <v>254</v>
      </c>
      <c r="G43" t="s">
        <v>255</v>
      </c>
      <c r="H43" t="str">
        <f t="shared" si="1"/>
        <v> Lectura del santo evangelio según san Mateo 6, 24-34</v>
      </c>
      <c r="J43" t="s">
        <v>256</v>
      </c>
    </row>
    <row r="44" spans="1:13" x14ac:dyDescent="0.25">
      <c r="A44">
        <v>8</v>
      </c>
      <c r="B44" t="s">
        <v>7</v>
      </c>
      <c r="C44" t="str">
        <f t="shared" si="2"/>
        <v>Domingo de la 9ª semana de Tiempo Ordinario</v>
      </c>
      <c r="D44" t="s">
        <v>257</v>
      </c>
      <c r="E44" t="s">
        <v>258</v>
      </c>
      <c r="F44" t="s">
        <v>259</v>
      </c>
      <c r="G44" t="s">
        <v>260</v>
      </c>
      <c r="H44" t="str">
        <f t="shared" si="1"/>
        <v> Lectura del santo evangelio según san Mateo 7, 21-27</v>
      </c>
      <c r="J44" t="s">
        <v>261</v>
      </c>
    </row>
    <row r="45" spans="1:13" x14ac:dyDescent="0.25">
      <c r="A45">
        <v>9</v>
      </c>
      <c r="B45" t="s">
        <v>7</v>
      </c>
      <c r="C45" t="str">
        <f t="shared" si="2"/>
        <v>Domingo de la 10ª semana de Tiempo Ordinario</v>
      </c>
      <c r="D45" t="s">
        <v>262</v>
      </c>
      <c r="E45" t="s">
        <v>263</v>
      </c>
      <c r="F45" t="s">
        <v>264</v>
      </c>
      <c r="G45" t="s">
        <v>265</v>
      </c>
      <c r="H45" t="str">
        <f t="shared" si="1"/>
        <v> Lectura del santo evangelio según san Mateo 9, 9-13</v>
      </c>
      <c r="J45" t="s">
        <v>266</v>
      </c>
    </row>
    <row r="46" spans="1:13" x14ac:dyDescent="0.25">
      <c r="A46">
        <v>10</v>
      </c>
      <c r="B46" t="s">
        <v>7</v>
      </c>
      <c r="C46" t="str">
        <f t="shared" si="2"/>
        <v>Domingo de la 11ª semana de Tiempo Ordinario</v>
      </c>
      <c r="D46" t="s">
        <v>267</v>
      </c>
      <c r="E46" t="s">
        <v>268</v>
      </c>
      <c r="F46" t="s">
        <v>269</v>
      </c>
      <c r="G46" t="s">
        <v>270</v>
      </c>
      <c r="H46" t="str">
        <f t="shared" si="1"/>
        <v> Lectura del santo evangelio según san Mateo 9, 36—10, 8</v>
      </c>
      <c r="J46" t="s">
        <v>271</v>
      </c>
    </row>
    <row r="47" spans="1:13" x14ac:dyDescent="0.25">
      <c r="A47">
        <v>11</v>
      </c>
      <c r="B47" t="s">
        <v>7</v>
      </c>
      <c r="C47" t="str">
        <f t="shared" si="2"/>
        <v>Domingo de la 12ª semana de Tiempo Ordinario</v>
      </c>
      <c r="D47" t="s">
        <v>272</v>
      </c>
      <c r="E47" t="s">
        <v>273</v>
      </c>
      <c r="F47" t="s">
        <v>274</v>
      </c>
      <c r="G47" t="s">
        <v>275</v>
      </c>
      <c r="H47" t="str">
        <f t="shared" si="1"/>
        <v> Lectura del santo evangelio según san Mateo 10, 26-33</v>
      </c>
      <c r="J47" t="s">
        <v>276</v>
      </c>
    </row>
    <row r="48" spans="1:13" x14ac:dyDescent="0.25">
      <c r="A48">
        <v>12</v>
      </c>
      <c r="B48" t="s">
        <v>7</v>
      </c>
      <c r="C48" t="str">
        <f t="shared" si="2"/>
        <v>Domingo de la 13ª semana de Tiempo Ordinario</v>
      </c>
      <c r="D48" t="s">
        <v>277</v>
      </c>
      <c r="E48" t="s">
        <v>278</v>
      </c>
      <c r="F48" t="s">
        <v>279</v>
      </c>
      <c r="G48" t="s">
        <v>280</v>
      </c>
      <c r="H48" t="str">
        <f t="shared" si="1"/>
        <v> Lectura del santo evangelio según san Mateo 10, 37-42</v>
      </c>
      <c r="J48" t="s">
        <v>281</v>
      </c>
    </row>
    <row r="49" spans="1:11" x14ac:dyDescent="0.25">
      <c r="A49">
        <v>13</v>
      </c>
      <c r="B49" t="s">
        <v>7</v>
      </c>
      <c r="C49" t="str">
        <f t="shared" si="2"/>
        <v>Domingo de la 14ª semana de Tiempo Ordinario</v>
      </c>
      <c r="D49" t="s">
        <v>282</v>
      </c>
      <c r="E49" t="s">
        <v>283</v>
      </c>
      <c r="F49" t="s">
        <v>284</v>
      </c>
      <c r="G49" t="s">
        <v>285</v>
      </c>
      <c r="H49" t="str">
        <f t="shared" si="1"/>
        <v> Lectura del santo evangelio según san Mateo 11, 25-30</v>
      </c>
      <c r="J49" t="s">
        <v>286</v>
      </c>
    </row>
    <row r="50" spans="1:11" x14ac:dyDescent="0.25">
      <c r="A50">
        <v>14</v>
      </c>
      <c r="B50" t="s">
        <v>7</v>
      </c>
      <c r="C50" t="str">
        <f t="shared" si="2"/>
        <v>Domingo de la 15ª semana de Tiempo Ordinario</v>
      </c>
      <c r="D50" t="s">
        <v>287</v>
      </c>
      <c r="E50" t="s">
        <v>288</v>
      </c>
      <c r="F50" t="s">
        <v>289</v>
      </c>
      <c r="G50" t="s">
        <v>290</v>
      </c>
      <c r="H50" t="str">
        <f t="shared" si="1"/>
        <v> Lectura del santo evangelio según san Mateo 13, 1-23 /  Lectura del santo evangelio según san Mateo 13, 1-9</v>
      </c>
      <c r="J50" t="s">
        <v>291</v>
      </c>
      <c r="K50" t="s">
        <v>292</v>
      </c>
    </row>
    <row r="51" spans="1:11" x14ac:dyDescent="0.25">
      <c r="A51">
        <v>15</v>
      </c>
      <c r="B51" t="s">
        <v>7</v>
      </c>
      <c r="C51" t="str">
        <f t="shared" si="2"/>
        <v>Domingo de la 16ª semana de Tiempo Ordinario</v>
      </c>
      <c r="D51" t="s">
        <v>293</v>
      </c>
      <c r="E51" t="s">
        <v>294</v>
      </c>
      <c r="F51" t="s">
        <v>295</v>
      </c>
      <c r="G51" t="s">
        <v>285</v>
      </c>
      <c r="H51" t="str">
        <f t="shared" si="1"/>
        <v> Lectura del santo evangelio según san Mateo 13, 24-43 /  Lectura del santo evangelio según san Mateo 13, 24-30</v>
      </c>
      <c r="J51" t="s">
        <v>296</v>
      </c>
      <c r="K51" t="s">
        <v>297</v>
      </c>
    </row>
    <row r="52" spans="1:11" x14ac:dyDescent="0.25">
      <c r="A52">
        <v>16</v>
      </c>
      <c r="B52" t="s">
        <v>7</v>
      </c>
      <c r="C52" t="str">
        <f t="shared" si="2"/>
        <v>Domingo de la 17ª semana de Tiempo Ordinario</v>
      </c>
      <c r="D52" t="s">
        <v>298</v>
      </c>
      <c r="E52" t="s">
        <v>299</v>
      </c>
      <c r="F52" t="s">
        <v>300</v>
      </c>
      <c r="G52" t="s">
        <v>285</v>
      </c>
      <c r="H52" t="str">
        <f t="shared" si="1"/>
        <v> Lectura del santo evangelio según san Mateo 13, 44-52 /  Lectura del santo evangelio según san Mateo 13, 44-46</v>
      </c>
      <c r="J52" t="s">
        <v>301</v>
      </c>
      <c r="K52" t="s">
        <v>302</v>
      </c>
    </row>
    <row r="53" spans="1:11" x14ac:dyDescent="0.25">
      <c r="A53">
        <v>17</v>
      </c>
      <c r="B53" t="s">
        <v>7</v>
      </c>
      <c r="C53" t="str">
        <f t="shared" si="2"/>
        <v>Domingo de la 18ª semana de Tiempo Ordinario</v>
      </c>
      <c r="D53" t="s">
        <v>303</v>
      </c>
      <c r="E53" t="s">
        <v>304</v>
      </c>
      <c r="F53" t="s">
        <v>305</v>
      </c>
      <c r="G53" t="s">
        <v>306</v>
      </c>
      <c r="H53" t="str">
        <f t="shared" si="1"/>
        <v> Lectura del santo evangelio según san Mateo 14, 13-21</v>
      </c>
      <c r="J53" t="s">
        <v>307</v>
      </c>
    </row>
    <row r="54" spans="1:11" x14ac:dyDescent="0.25">
      <c r="A54">
        <v>18</v>
      </c>
      <c r="B54" t="s">
        <v>7</v>
      </c>
      <c r="C54" t="str">
        <f t="shared" si="2"/>
        <v>Domingo de la 19ª semana de Tiempo Ordinario</v>
      </c>
      <c r="D54" t="s">
        <v>308</v>
      </c>
      <c r="E54" t="s">
        <v>309</v>
      </c>
      <c r="F54" t="s">
        <v>310</v>
      </c>
      <c r="G54" t="s">
        <v>311</v>
      </c>
      <c r="H54" t="str">
        <f t="shared" si="1"/>
        <v> Lectura del santo evangelio según san Mateo 14, 22-33</v>
      </c>
      <c r="J54" t="s">
        <v>312</v>
      </c>
    </row>
    <row r="55" spans="1:11" x14ac:dyDescent="0.25">
      <c r="A55">
        <v>19</v>
      </c>
      <c r="B55" t="s">
        <v>7</v>
      </c>
      <c r="C55" t="str">
        <f t="shared" si="2"/>
        <v>Domingo de la 20ª semana de Tiempo Ordinario</v>
      </c>
      <c r="D55" t="s">
        <v>313</v>
      </c>
      <c r="E55" t="s">
        <v>314</v>
      </c>
      <c r="F55" t="s">
        <v>315</v>
      </c>
      <c r="G55" t="s">
        <v>228</v>
      </c>
      <c r="H55" t="str">
        <f t="shared" si="1"/>
        <v> Lectura del santo evangelio según san Mateo 15, 21-28.</v>
      </c>
      <c r="J55" t="s">
        <v>316</v>
      </c>
    </row>
    <row r="56" spans="1:11" x14ac:dyDescent="0.25">
      <c r="A56">
        <v>20</v>
      </c>
      <c r="B56" t="s">
        <v>7</v>
      </c>
      <c r="C56" t="str">
        <f t="shared" si="2"/>
        <v>Domingo de la 21ª semana de Tiempo Ordinario</v>
      </c>
      <c r="D56" t="s">
        <v>317</v>
      </c>
      <c r="E56" t="s">
        <v>318</v>
      </c>
      <c r="F56" t="s">
        <v>319</v>
      </c>
      <c r="G56" t="s">
        <v>320</v>
      </c>
      <c r="H56" t="str">
        <f t="shared" si="1"/>
        <v> Lectura del santo evangelio según san Mateo 16, 13-20</v>
      </c>
      <c r="J56" t="s">
        <v>321</v>
      </c>
    </row>
    <row r="57" spans="1:11" x14ac:dyDescent="0.25">
      <c r="A57">
        <v>21</v>
      </c>
      <c r="B57" t="s">
        <v>7</v>
      </c>
      <c r="C57" t="str">
        <f t="shared" si="2"/>
        <v>Domingo de la 22ª semana de Tiempo Ordinario</v>
      </c>
      <c r="D57" t="s">
        <v>322</v>
      </c>
      <c r="E57" t="s">
        <v>323</v>
      </c>
      <c r="F57" t="s">
        <v>324</v>
      </c>
      <c r="G57" t="s">
        <v>325</v>
      </c>
      <c r="H57" t="str">
        <f t="shared" si="1"/>
        <v> Lectura del santo evangelio según san Mateo 16, 21-27</v>
      </c>
      <c r="J57" t="s">
        <v>326</v>
      </c>
    </row>
    <row r="58" spans="1:11" x14ac:dyDescent="0.25">
      <c r="A58">
        <v>22</v>
      </c>
      <c r="B58" t="s">
        <v>7</v>
      </c>
      <c r="C58" t="str">
        <f t="shared" si="2"/>
        <v>Domingo de la 23ª semana de Tiempo Ordinario</v>
      </c>
      <c r="D58" t="s">
        <v>327</v>
      </c>
      <c r="E58" t="s">
        <v>328</v>
      </c>
      <c r="F58" t="s">
        <v>329</v>
      </c>
      <c r="G58" t="s">
        <v>330</v>
      </c>
      <c r="H58" t="str">
        <f t="shared" si="1"/>
        <v> Lectura del santo evangelio según san Mateo 18, 15-20</v>
      </c>
      <c r="J58" t="s">
        <v>331</v>
      </c>
    </row>
    <row r="59" spans="1:11" x14ac:dyDescent="0.25">
      <c r="A59">
        <v>23</v>
      </c>
      <c r="B59" t="s">
        <v>7</v>
      </c>
      <c r="C59" t="str">
        <f t="shared" si="2"/>
        <v>Domingo de la 24ª semana de Tiempo Ordinario</v>
      </c>
      <c r="D59" t="s">
        <v>332</v>
      </c>
      <c r="E59" t="s">
        <v>333</v>
      </c>
      <c r="F59" t="s">
        <v>334</v>
      </c>
      <c r="G59" t="s">
        <v>335</v>
      </c>
      <c r="H59" t="str">
        <f t="shared" si="1"/>
        <v> Lectura del santo evangelio según san Mateo 18, 21-35</v>
      </c>
      <c r="J59" t="s">
        <v>336</v>
      </c>
    </row>
    <row r="60" spans="1:11" x14ac:dyDescent="0.25">
      <c r="A60">
        <v>24</v>
      </c>
      <c r="B60" t="s">
        <v>7</v>
      </c>
      <c r="C60" t="str">
        <f t="shared" si="2"/>
        <v>Domingo de la 25ª semana de Tiempo Ordinario</v>
      </c>
      <c r="D60" t="s">
        <v>337</v>
      </c>
      <c r="E60" t="s">
        <v>338</v>
      </c>
      <c r="F60" t="s">
        <v>339</v>
      </c>
      <c r="G60" t="s">
        <v>340</v>
      </c>
      <c r="H60" t="str">
        <f t="shared" si="1"/>
        <v> Lectura del santo evangelio según san Mateo 20, 1-16</v>
      </c>
      <c r="J60" t="s">
        <v>341</v>
      </c>
    </row>
    <row r="61" spans="1:11" x14ac:dyDescent="0.25">
      <c r="A61">
        <v>25</v>
      </c>
      <c r="B61" t="s">
        <v>7</v>
      </c>
      <c r="C61" t="str">
        <f t="shared" si="2"/>
        <v>Domingo de la 26ª semana de Tiempo Ordinario</v>
      </c>
      <c r="D61" t="s">
        <v>342</v>
      </c>
      <c r="E61" t="s">
        <v>343</v>
      </c>
      <c r="F61" t="s">
        <v>344</v>
      </c>
      <c r="G61" t="s">
        <v>345</v>
      </c>
      <c r="H61" t="str">
        <f t="shared" si="1"/>
        <v> Lectura del santo evangelio según san Mateo 21, 28-32</v>
      </c>
      <c r="J61" t="s">
        <v>346</v>
      </c>
    </row>
    <row r="62" spans="1:11" x14ac:dyDescent="0.25">
      <c r="A62">
        <v>26</v>
      </c>
      <c r="B62" t="s">
        <v>7</v>
      </c>
      <c r="C62" t="str">
        <f t="shared" si="2"/>
        <v>Domingo de la 27ª semana de Tiempo Ordinario</v>
      </c>
      <c r="D62" t="s">
        <v>347</v>
      </c>
      <c r="E62" t="s">
        <v>348</v>
      </c>
      <c r="F62" t="s">
        <v>349</v>
      </c>
      <c r="G62" t="s">
        <v>350</v>
      </c>
      <c r="H62" t="str">
        <f t="shared" si="1"/>
        <v> Lectura del santo evangelio según san Mateo 21, 33-43</v>
      </c>
      <c r="J62" t="s">
        <v>351</v>
      </c>
    </row>
    <row r="63" spans="1:11" x14ac:dyDescent="0.25">
      <c r="A63">
        <v>27</v>
      </c>
      <c r="B63" t="s">
        <v>7</v>
      </c>
      <c r="C63" t="str">
        <f t="shared" si="2"/>
        <v>Domingo de la 28ª semana de Tiempo Ordinario</v>
      </c>
      <c r="D63" t="s">
        <v>352</v>
      </c>
      <c r="E63" t="s">
        <v>353</v>
      </c>
      <c r="F63" t="s">
        <v>354</v>
      </c>
      <c r="G63" t="s">
        <v>325</v>
      </c>
      <c r="H63" t="str">
        <f t="shared" si="1"/>
        <v> Lectura del santo evangelio según san Mateo 22, 1-14 /  Lectura del santo evangelio según san Mateo 22, 1-10</v>
      </c>
      <c r="J63" t="s">
        <v>355</v>
      </c>
      <c r="K63" t="s">
        <v>356</v>
      </c>
    </row>
    <row r="64" spans="1:11" x14ac:dyDescent="0.25">
      <c r="A64">
        <v>28</v>
      </c>
      <c r="B64" t="s">
        <v>7</v>
      </c>
      <c r="C64" t="str">
        <f t="shared" si="2"/>
        <v>Domingo de la 29ª semana de Tiempo Ordinario</v>
      </c>
      <c r="D64" t="s">
        <v>357</v>
      </c>
      <c r="E64" t="s">
        <v>358</v>
      </c>
      <c r="F64" t="s">
        <v>359</v>
      </c>
      <c r="G64" t="s">
        <v>360</v>
      </c>
      <c r="H64" t="str">
        <f t="shared" si="1"/>
        <v> Lectura del santo evangelio según san Mateo 22, 15-21</v>
      </c>
      <c r="J64" t="s">
        <v>361</v>
      </c>
    </row>
    <row r="65" spans="1:11" x14ac:dyDescent="0.25">
      <c r="A65">
        <v>29</v>
      </c>
      <c r="B65" t="s">
        <v>7</v>
      </c>
      <c r="C65" t="str">
        <f t="shared" si="2"/>
        <v>Domingo de la 30ª semana de Tiempo Ordinario</v>
      </c>
      <c r="D65" t="s">
        <v>362</v>
      </c>
      <c r="E65" t="s">
        <v>363</v>
      </c>
      <c r="F65" t="s">
        <v>364</v>
      </c>
      <c r="G65" t="s">
        <v>365</v>
      </c>
      <c r="H65" t="str">
        <f t="shared" si="1"/>
        <v> Lectura del santo evangelio según san Mateo 22, 34-40</v>
      </c>
      <c r="J65" t="s">
        <v>366</v>
      </c>
    </row>
    <row r="66" spans="1:11" x14ac:dyDescent="0.25">
      <c r="A66">
        <v>30</v>
      </c>
      <c r="B66" t="s">
        <v>7</v>
      </c>
      <c r="C66" t="str">
        <f t="shared" si="2"/>
        <v>Domingo de la 31ª semana de Tiempo Ordinario</v>
      </c>
      <c r="D66" t="s">
        <v>367</v>
      </c>
      <c r="E66" t="s">
        <v>368</v>
      </c>
      <c r="F66" t="s">
        <v>369</v>
      </c>
      <c r="G66" t="s">
        <v>370</v>
      </c>
      <c r="H66" t="str">
        <f t="shared" si="1"/>
        <v> Lectura del santo evangelio según san Mateo 23, 1-12</v>
      </c>
      <c r="J66" t="s">
        <v>371</v>
      </c>
    </row>
    <row r="67" spans="1:11" x14ac:dyDescent="0.25">
      <c r="A67">
        <v>31</v>
      </c>
      <c r="B67" t="s">
        <v>7</v>
      </c>
      <c r="C67" t="str">
        <f t="shared" si="2"/>
        <v>Domingo de la 32ª semana de Tiempo Ordinario</v>
      </c>
      <c r="D67" t="s">
        <v>372</v>
      </c>
      <c r="E67" t="s">
        <v>373</v>
      </c>
      <c r="F67" t="s">
        <v>374</v>
      </c>
      <c r="G67" t="s">
        <v>375</v>
      </c>
      <c r="H67" t="str">
        <f t="shared" si="1"/>
        <v> Lectura del santo evangelio según san Mateo 25, 1-13</v>
      </c>
      <c r="J67" t="s">
        <v>376</v>
      </c>
    </row>
    <row r="68" spans="1:11" x14ac:dyDescent="0.25">
      <c r="A68">
        <v>32</v>
      </c>
      <c r="B68" t="s">
        <v>7</v>
      </c>
      <c r="C68" t="str">
        <f t="shared" si="2"/>
        <v>Domingo de la 33ª semana de Tiempo Ordinario</v>
      </c>
      <c r="D68" t="s">
        <v>377</v>
      </c>
      <c r="E68" t="s">
        <v>378</v>
      </c>
      <c r="F68" t="s">
        <v>379</v>
      </c>
      <c r="G68" t="s">
        <v>380</v>
      </c>
      <c r="H68" t="str">
        <f t="shared" si="1"/>
        <v> Lectura del santo evangelio según san Mateo 25, 14-30 /  Lectura del santo evangelio según san Mateo 25, 14-15. 19-21</v>
      </c>
      <c r="J68" t="s">
        <v>381</v>
      </c>
      <c r="K68" t="s">
        <v>382</v>
      </c>
    </row>
    <row r="69" spans="1:11" x14ac:dyDescent="0.25">
      <c r="A69">
        <v>33</v>
      </c>
      <c r="B69" t="s">
        <v>7</v>
      </c>
      <c r="C69" t="str">
        <f t="shared" si="2"/>
        <v>Domingo de la 34ª semana de Tiempo Ordinario</v>
      </c>
      <c r="D69" t="s">
        <v>383</v>
      </c>
      <c r="E69" t="s">
        <v>384</v>
      </c>
      <c r="F69" t="s">
        <v>385</v>
      </c>
      <c r="G69" t="s">
        <v>386</v>
      </c>
      <c r="H69" t="str">
        <f t="shared" si="1"/>
        <v> Lectura del santo evangelio según san Mateo 25, 31-46</v>
      </c>
      <c r="J69" t="s">
        <v>387</v>
      </c>
    </row>
    <row r="70" spans="1:11" x14ac:dyDescent="0.25">
      <c r="H70">
        <f t="shared" si="1"/>
        <v>0</v>
      </c>
    </row>
    <row r="71" spans="1:11" x14ac:dyDescent="0.25">
      <c r="H71">
        <f t="shared" ref="H71:H114" si="3">IF(K71="",J71,_xlfn.CONCAT(J71," / ",K71))</f>
        <v>0</v>
      </c>
    </row>
    <row r="72" spans="1:11" x14ac:dyDescent="0.25">
      <c r="H72">
        <f t="shared" si="3"/>
        <v>0</v>
      </c>
    </row>
    <row r="73" spans="1:11" x14ac:dyDescent="0.25">
      <c r="H73">
        <f t="shared" si="3"/>
        <v>0</v>
      </c>
    </row>
    <row r="74" spans="1:11" x14ac:dyDescent="0.25">
      <c r="H74">
        <f t="shared" si="3"/>
        <v>0</v>
      </c>
    </row>
    <row r="75" spans="1:11" x14ac:dyDescent="0.25">
      <c r="H75">
        <f t="shared" si="3"/>
        <v>0</v>
      </c>
    </row>
    <row r="76" spans="1:11" x14ac:dyDescent="0.25">
      <c r="H76">
        <f t="shared" si="3"/>
        <v>0</v>
      </c>
    </row>
    <row r="77" spans="1:11" x14ac:dyDescent="0.25">
      <c r="H77">
        <f t="shared" si="3"/>
        <v>0</v>
      </c>
    </row>
    <row r="78" spans="1:11" x14ac:dyDescent="0.25">
      <c r="H78">
        <f t="shared" si="3"/>
        <v>0</v>
      </c>
    </row>
    <row r="79" spans="1:11" x14ac:dyDescent="0.25">
      <c r="H79">
        <f t="shared" si="3"/>
        <v>0</v>
      </c>
    </row>
    <row r="80" spans="1:11" x14ac:dyDescent="0.25">
      <c r="H80">
        <f t="shared" si="3"/>
        <v>0</v>
      </c>
    </row>
    <row r="81" spans="8:8" x14ac:dyDescent="0.25">
      <c r="H81">
        <f t="shared" si="3"/>
        <v>0</v>
      </c>
    </row>
    <row r="82" spans="8:8" x14ac:dyDescent="0.25">
      <c r="H82">
        <f t="shared" si="3"/>
        <v>0</v>
      </c>
    </row>
    <row r="83" spans="8:8" x14ac:dyDescent="0.25">
      <c r="H83">
        <f t="shared" si="3"/>
        <v>0</v>
      </c>
    </row>
    <row r="84" spans="8:8" x14ac:dyDescent="0.25">
      <c r="H84">
        <f t="shared" si="3"/>
        <v>0</v>
      </c>
    </row>
    <row r="85" spans="8:8" x14ac:dyDescent="0.25">
      <c r="H85">
        <f t="shared" si="3"/>
        <v>0</v>
      </c>
    </row>
    <row r="86" spans="8:8" x14ac:dyDescent="0.25">
      <c r="H86">
        <f t="shared" si="3"/>
        <v>0</v>
      </c>
    </row>
    <row r="87" spans="8:8" x14ac:dyDescent="0.25">
      <c r="H87">
        <f t="shared" si="3"/>
        <v>0</v>
      </c>
    </row>
    <row r="88" spans="8:8" x14ac:dyDescent="0.25">
      <c r="H88">
        <f t="shared" si="3"/>
        <v>0</v>
      </c>
    </row>
    <row r="89" spans="8:8" x14ac:dyDescent="0.25">
      <c r="H89">
        <f t="shared" si="3"/>
        <v>0</v>
      </c>
    </row>
    <row r="90" spans="8:8" x14ac:dyDescent="0.25">
      <c r="H90">
        <f t="shared" si="3"/>
        <v>0</v>
      </c>
    </row>
    <row r="91" spans="8:8" x14ac:dyDescent="0.25">
      <c r="H91">
        <f t="shared" si="3"/>
        <v>0</v>
      </c>
    </row>
    <row r="92" spans="8:8" x14ac:dyDescent="0.25">
      <c r="H92">
        <f t="shared" si="3"/>
        <v>0</v>
      </c>
    </row>
    <row r="93" spans="8:8" x14ac:dyDescent="0.25">
      <c r="H93">
        <f t="shared" si="3"/>
        <v>0</v>
      </c>
    </row>
    <row r="94" spans="8:8" x14ac:dyDescent="0.25">
      <c r="H94">
        <f t="shared" si="3"/>
        <v>0</v>
      </c>
    </row>
    <row r="95" spans="8:8" x14ac:dyDescent="0.25">
      <c r="H95">
        <f t="shared" si="3"/>
        <v>0</v>
      </c>
    </row>
    <row r="96" spans="8:8" x14ac:dyDescent="0.25">
      <c r="H96">
        <f t="shared" si="3"/>
        <v>0</v>
      </c>
    </row>
    <row r="97" spans="8:8" x14ac:dyDescent="0.25">
      <c r="H97">
        <f t="shared" si="3"/>
        <v>0</v>
      </c>
    </row>
    <row r="98" spans="8:8" x14ac:dyDescent="0.25">
      <c r="H98">
        <f t="shared" si="3"/>
        <v>0</v>
      </c>
    </row>
    <row r="99" spans="8:8" x14ac:dyDescent="0.25">
      <c r="H99">
        <f t="shared" si="3"/>
        <v>0</v>
      </c>
    </row>
    <row r="100" spans="8:8" x14ac:dyDescent="0.25">
      <c r="H100">
        <f t="shared" si="3"/>
        <v>0</v>
      </c>
    </row>
    <row r="101" spans="8:8" x14ac:dyDescent="0.25">
      <c r="H101">
        <f t="shared" si="3"/>
        <v>0</v>
      </c>
    </row>
    <row r="102" spans="8:8" x14ac:dyDescent="0.25">
      <c r="H102">
        <f t="shared" si="3"/>
        <v>0</v>
      </c>
    </row>
    <row r="103" spans="8:8" x14ac:dyDescent="0.25">
      <c r="H103">
        <f t="shared" si="3"/>
        <v>0</v>
      </c>
    </row>
    <row r="104" spans="8:8" x14ac:dyDescent="0.25">
      <c r="H104">
        <f t="shared" si="3"/>
        <v>0</v>
      </c>
    </row>
    <row r="105" spans="8:8" x14ac:dyDescent="0.25">
      <c r="H105">
        <f t="shared" si="3"/>
        <v>0</v>
      </c>
    </row>
    <row r="106" spans="8:8" x14ac:dyDescent="0.25">
      <c r="H106">
        <f t="shared" si="3"/>
        <v>0</v>
      </c>
    </row>
    <row r="107" spans="8:8" x14ac:dyDescent="0.25">
      <c r="H107">
        <f t="shared" si="3"/>
        <v>0</v>
      </c>
    </row>
    <row r="108" spans="8:8" x14ac:dyDescent="0.25">
      <c r="H108">
        <f t="shared" si="3"/>
        <v>0</v>
      </c>
    </row>
    <row r="109" spans="8:8" x14ac:dyDescent="0.25">
      <c r="H109">
        <f t="shared" si="3"/>
        <v>0</v>
      </c>
    </row>
    <row r="110" spans="8:8" x14ac:dyDescent="0.25">
      <c r="H110">
        <f t="shared" si="3"/>
        <v>0</v>
      </c>
    </row>
    <row r="111" spans="8:8" x14ac:dyDescent="0.25">
      <c r="H111">
        <f t="shared" si="3"/>
        <v>0</v>
      </c>
    </row>
    <row r="112" spans="8:8" x14ac:dyDescent="0.25">
      <c r="H112">
        <f t="shared" si="3"/>
        <v>0</v>
      </c>
    </row>
    <row r="113" spans="8:8" x14ac:dyDescent="0.25">
      <c r="H113">
        <f t="shared" si="3"/>
        <v>0</v>
      </c>
    </row>
    <row r="114" spans="8:8" x14ac:dyDescent="0.25">
      <c r="H114">
        <f t="shared" si="3"/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Baez</dc:creator>
  <cp:lastModifiedBy>Carlos Baez</cp:lastModifiedBy>
  <dcterms:created xsi:type="dcterms:W3CDTF">2026-07-17T21:02:38Z</dcterms:created>
  <dcterms:modified xsi:type="dcterms:W3CDTF">2026-07-17T21:08:11Z</dcterms:modified>
</cp:coreProperties>
</file>