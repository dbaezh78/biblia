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biblia\src\doc\"/>
    </mc:Choice>
  </mc:AlternateContent>
  <xr:revisionPtr revIDLastSave="0" documentId="13_ncr:1_{2417132B-C5E5-4F34-BDFF-34AB544C183B}" xr6:coauthVersionLast="47" xr6:coauthVersionMax="47" xr10:uidLastSave="{00000000-0000-0000-0000-000000000000}"/>
  <bookViews>
    <workbookView xWindow="-120" yWindow="-120" windowWidth="51840" windowHeight="21120" xr2:uid="{50C77ACD-27A8-4560-9522-4B1F3607ED08}"/>
  </bookViews>
  <sheets>
    <sheet name="Resumen" sheetId="4" r:id="rId1"/>
    <sheet name="Calendario" sheetId="5" r:id="rId2"/>
    <sheet name="Sheet1" sheetId="1" r:id="rId3"/>
    <sheet name="Sheet2" sheetId="2" r:id="rId4"/>
    <sheet name="Sheet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17" i="5" l="1"/>
  <c r="H389" i="5"/>
  <c r="L389" i="5"/>
  <c r="L386" i="5"/>
  <c r="L373" i="5"/>
  <c r="L372" i="5"/>
  <c r="H372" i="5"/>
  <c r="A372" i="5"/>
  <c r="A379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C107" i="5"/>
  <c r="C108" i="5" s="1"/>
  <c r="C109" i="5" s="1"/>
  <c r="C110" i="5" s="1"/>
  <c r="C111" i="5" s="1"/>
  <c r="C112" i="5" s="1"/>
  <c r="C113" i="5" s="1"/>
  <c r="C63" i="5"/>
  <c r="C23" i="5"/>
  <c r="E224" i="5"/>
  <c r="E223" i="5" s="1"/>
  <c r="E222" i="5" s="1"/>
  <c r="E221" i="5" s="1"/>
  <c r="E220" i="5" s="1"/>
  <c r="E219" i="5" s="1"/>
  <c r="E218" i="5" s="1"/>
  <c r="E217" i="5" s="1"/>
  <c r="A387" i="5"/>
  <c r="A386" i="5"/>
  <c r="A385" i="5"/>
  <c r="A384" i="5"/>
  <c r="A383" i="5"/>
  <c r="A382" i="5"/>
  <c r="A381" i="5"/>
  <c r="A380" i="5"/>
  <c r="A378" i="5"/>
  <c r="A377" i="5"/>
  <c r="A376" i="5"/>
  <c r="A375" i="5"/>
  <c r="A374" i="5"/>
  <c r="A373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C27" i="4"/>
  <c r="C28" i="4"/>
  <c r="C24" i="4"/>
  <c r="C23" i="4"/>
  <c r="C22" i="4"/>
  <c r="C21" i="4"/>
  <c r="C20" i="4"/>
  <c r="B387" i="5"/>
  <c r="H387" i="5" s="1"/>
  <c r="B386" i="5"/>
  <c r="F386" i="5" s="1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F372" i="5" s="1"/>
  <c r="B371" i="5"/>
  <c r="B370" i="5"/>
  <c r="F370" i="5" s="1"/>
  <c r="B369" i="5"/>
  <c r="B368" i="5"/>
  <c r="H368" i="5" s="1"/>
  <c r="B367" i="5"/>
  <c r="B366" i="5"/>
  <c r="H366" i="5" s="1"/>
  <c r="B365" i="5"/>
  <c r="B364" i="5"/>
  <c r="H364" i="5" s="1"/>
  <c r="B363" i="5"/>
  <c r="H363" i="5" s="1"/>
  <c r="B362" i="5"/>
  <c r="H362" i="5" s="1"/>
  <c r="B361" i="5"/>
  <c r="H361" i="5" s="1"/>
  <c r="B360" i="5"/>
  <c r="H360" i="5" s="1"/>
  <c r="B359" i="5"/>
  <c r="B358" i="5"/>
  <c r="B357" i="5"/>
  <c r="H357" i="5" s="1"/>
  <c r="B356" i="5"/>
  <c r="H356" i="5" s="1"/>
  <c r="B355" i="5"/>
  <c r="H355" i="5" s="1"/>
  <c r="B354" i="5"/>
  <c r="H354" i="5" s="1"/>
  <c r="B353" i="5"/>
  <c r="H353" i="5" s="1"/>
  <c r="B352" i="5"/>
  <c r="H352" i="5" s="1"/>
  <c r="B351" i="5"/>
  <c r="B350" i="5"/>
  <c r="H350" i="5" s="1"/>
  <c r="B349" i="5"/>
  <c r="H349" i="5" s="1"/>
  <c r="B348" i="5"/>
  <c r="H348" i="5" s="1"/>
  <c r="B347" i="5"/>
  <c r="H347" i="5" s="1"/>
  <c r="B346" i="5"/>
  <c r="B345" i="5"/>
  <c r="H345" i="5" s="1"/>
  <c r="B344" i="5"/>
  <c r="B343" i="5"/>
  <c r="B342" i="5"/>
  <c r="H342" i="5" s="1"/>
  <c r="B341" i="5"/>
  <c r="H341" i="5" s="1"/>
  <c r="B340" i="5"/>
  <c r="H340" i="5" s="1"/>
  <c r="B339" i="5"/>
  <c r="H339" i="5" s="1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H346" i="5"/>
  <c r="H338" i="5"/>
  <c r="E388" i="5"/>
  <c r="B388" i="5" s="1"/>
  <c r="H388" i="5" s="1"/>
  <c r="C387" i="5"/>
  <c r="C388" i="5" s="1"/>
  <c r="F388" i="5" s="1"/>
  <c r="H385" i="5"/>
  <c r="H384" i="5"/>
  <c r="H381" i="5"/>
  <c r="H380" i="5"/>
  <c r="H378" i="5"/>
  <c r="C19" i="4"/>
  <c r="C18" i="4"/>
  <c r="H382" i="5" s="1"/>
  <c r="C17" i="4"/>
  <c r="H377" i="5" s="1"/>
  <c r="C16" i="4"/>
  <c r="H376" i="5" s="1"/>
  <c r="C15" i="4"/>
  <c r="H375" i="5" s="1"/>
  <c r="C14" i="4"/>
  <c r="C13" i="4"/>
  <c r="H374" i="5" s="1"/>
  <c r="C12" i="4"/>
  <c r="H373" i="5" s="1"/>
  <c r="C11" i="4"/>
  <c r="C10" i="4"/>
  <c r="C9" i="4"/>
  <c r="H359" i="5"/>
  <c r="H29" i="4" l="1" a="1"/>
  <c r="H29" i="4" s="1"/>
  <c r="H370" i="5"/>
  <c r="C24" i="5"/>
  <c r="F387" i="5"/>
  <c r="H386" i="5"/>
  <c r="H371" i="5"/>
  <c r="H344" i="5"/>
  <c r="A217" i="5"/>
  <c r="E216" i="5"/>
  <c r="E215" i="5" s="1"/>
  <c r="E214" i="5" s="1"/>
  <c r="E213" i="5" s="1"/>
  <c r="E212" i="5" s="1"/>
  <c r="E211" i="5" s="1"/>
  <c r="E210" i="5" s="1"/>
  <c r="E209" i="5" s="1"/>
  <c r="E208" i="5" s="1"/>
  <c r="E207" i="5" s="1"/>
  <c r="E206" i="5" s="1"/>
  <c r="E205" i="5" s="1"/>
  <c r="E204" i="5" s="1"/>
  <c r="E203" i="5" s="1"/>
  <c r="E202" i="5" s="1"/>
  <c r="E201" i="5" s="1"/>
  <c r="E200" i="5" s="1"/>
  <c r="E199" i="5" s="1"/>
  <c r="E198" i="5" s="1"/>
  <c r="E197" i="5" s="1"/>
  <c r="E196" i="5" s="1"/>
  <c r="E195" i="5" s="1"/>
  <c r="E194" i="5" s="1"/>
  <c r="E193" i="5" s="1"/>
  <c r="E192" i="5" s="1"/>
  <c r="E191" i="5" s="1"/>
  <c r="E190" i="5" s="1"/>
  <c r="E189" i="5" s="1"/>
  <c r="E188" i="5" s="1"/>
  <c r="E187" i="5" s="1"/>
  <c r="E186" i="5" s="1"/>
  <c r="E185" i="5" s="1"/>
  <c r="E184" i="5" s="1"/>
  <c r="E183" i="5" s="1"/>
  <c r="E182" i="5" s="1"/>
  <c r="E181" i="5" s="1"/>
  <c r="E180" i="5" s="1"/>
  <c r="E179" i="5" s="1"/>
  <c r="E178" i="5" s="1"/>
  <c r="E177" i="5" s="1"/>
  <c r="E176" i="5" s="1"/>
  <c r="E175" i="5" s="1"/>
  <c r="E174" i="5" s="1"/>
  <c r="E173" i="5" s="1"/>
  <c r="E172" i="5" s="1"/>
  <c r="E171" i="5" s="1"/>
  <c r="E170" i="5" s="1"/>
  <c r="E169" i="5" s="1"/>
  <c r="E168" i="5" s="1"/>
  <c r="E167" i="5" s="1"/>
  <c r="E166" i="5" s="1"/>
  <c r="E165" i="5" s="1"/>
  <c r="E164" i="5" s="1"/>
  <c r="E163" i="5" s="1"/>
  <c r="E162" i="5" s="1"/>
  <c r="E161" i="5" s="1"/>
  <c r="E160" i="5" s="1"/>
  <c r="E159" i="5" s="1"/>
  <c r="E158" i="5" s="1"/>
  <c r="E157" i="5" s="1"/>
  <c r="E156" i="5" s="1"/>
  <c r="E155" i="5" s="1"/>
  <c r="E154" i="5" s="1"/>
  <c r="E153" i="5" s="1"/>
  <c r="E152" i="5" s="1"/>
  <c r="E151" i="5" s="1"/>
  <c r="E150" i="5" s="1"/>
  <c r="E149" i="5" s="1"/>
  <c r="E148" i="5" s="1"/>
  <c r="E147" i="5" s="1"/>
  <c r="E146" i="5" s="1"/>
  <c r="E145" i="5" s="1"/>
  <c r="E144" i="5" s="1"/>
  <c r="E143" i="5" s="1"/>
  <c r="E142" i="5" s="1"/>
  <c r="E141" i="5" s="1"/>
  <c r="A219" i="5"/>
  <c r="B218" i="5"/>
  <c r="B219" i="5"/>
  <c r="A388" i="5"/>
  <c r="B217" i="5"/>
  <c r="A218" i="5"/>
  <c r="E389" i="5"/>
  <c r="B389" i="5" s="1"/>
  <c r="G388" i="5"/>
  <c r="C389" i="5"/>
  <c r="H343" i="5"/>
  <c r="H367" i="5"/>
  <c r="C25" i="5" l="1"/>
  <c r="F389" i="5"/>
  <c r="A141" i="5"/>
  <c r="E140" i="5"/>
  <c r="E139" i="5" s="1"/>
  <c r="E138" i="5" s="1"/>
  <c r="E137" i="5" s="1"/>
  <c r="E136" i="5" s="1"/>
  <c r="E135" i="5" s="1"/>
  <c r="E134" i="5" s="1"/>
  <c r="E133" i="5" s="1"/>
  <c r="E132" i="5" s="1"/>
  <c r="E131" i="5" s="1"/>
  <c r="E130" i="5" s="1"/>
  <c r="E129" i="5" s="1"/>
  <c r="E128" i="5" s="1"/>
  <c r="E127" i="5" s="1"/>
  <c r="E126" i="5" s="1"/>
  <c r="E125" i="5" s="1"/>
  <c r="E124" i="5" s="1"/>
  <c r="E123" i="5" s="1"/>
  <c r="E122" i="5" s="1"/>
  <c r="E121" i="5" s="1"/>
  <c r="E120" i="5" s="1"/>
  <c r="E119" i="5" s="1"/>
  <c r="E118" i="5" s="1"/>
  <c r="E117" i="5" s="1"/>
  <c r="E116" i="5" s="1"/>
  <c r="E115" i="5" s="1"/>
  <c r="E114" i="5" s="1"/>
  <c r="E113" i="5" s="1"/>
  <c r="E112" i="5" s="1"/>
  <c r="E111" i="5" s="1"/>
  <c r="E110" i="5" s="1"/>
  <c r="E109" i="5" s="1"/>
  <c r="E108" i="5" s="1"/>
  <c r="E107" i="5" s="1"/>
  <c r="E106" i="5" s="1"/>
  <c r="E105" i="5" s="1"/>
  <c r="E104" i="5" s="1"/>
  <c r="E103" i="5" s="1"/>
  <c r="E102" i="5" s="1"/>
  <c r="E101" i="5" s="1"/>
  <c r="E100" i="5" s="1"/>
  <c r="E99" i="5" s="1"/>
  <c r="E98" i="5" s="1"/>
  <c r="E97" i="5" s="1"/>
  <c r="E96" i="5" s="1"/>
  <c r="E95" i="5" s="1"/>
  <c r="E94" i="5" s="1"/>
  <c r="E93" i="5" s="1"/>
  <c r="E92" i="5" s="1"/>
  <c r="E91" i="5" s="1"/>
  <c r="E90" i="5" s="1"/>
  <c r="E89" i="5" s="1"/>
  <c r="E88" i="5" s="1"/>
  <c r="E87" i="5" s="1"/>
  <c r="E86" i="5" s="1"/>
  <c r="E85" i="5" s="1"/>
  <c r="E84" i="5" s="1"/>
  <c r="E83" i="5" s="1"/>
  <c r="E82" i="5" s="1"/>
  <c r="E81" i="5" s="1"/>
  <c r="E80" i="5" s="1"/>
  <c r="E79" i="5" s="1"/>
  <c r="E78" i="5" s="1"/>
  <c r="E77" i="5" s="1"/>
  <c r="E76" i="5" s="1"/>
  <c r="E75" i="5" s="1"/>
  <c r="E74" i="5" s="1"/>
  <c r="E73" i="5" s="1"/>
  <c r="E72" i="5" s="1"/>
  <c r="E71" i="5" s="1"/>
  <c r="E70" i="5" s="1"/>
  <c r="E69" i="5" s="1"/>
  <c r="E68" i="5" s="1"/>
  <c r="E67" i="5" s="1"/>
  <c r="E66" i="5" s="1"/>
  <c r="E65" i="5" s="1"/>
  <c r="E64" i="5" s="1"/>
  <c r="E63" i="5" s="1"/>
  <c r="E62" i="5" s="1"/>
  <c r="E61" i="5" s="1"/>
  <c r="E60" i="5" s="1"/>
  <c r="E59" i="5" s="1"/>
  <c r="E58" i="5" s="1"/>
  <c r="E57" i="5" s="1"/>
  <c r="E56" i="5" s="1"/>
  <c r="E55" i="5" s="1"/>
  <c r="E54" i="5" s="1"/>
  <c r="E53" i="5" s="1"/>
  <c r="E52" i="5" s="1"/>
  <c r="E51" i="5" s="1"/>
  <c r="E50" i="5" s="1"/>
  <c r="E49" i="5" s="1"/>
  <c r="E48" i="5" s="1"/>
  <c r="E47" i="5" s="1"/>
  <c r="E46" i="5" s="1"/>
  <c r="E45" i="5" s="1"/>
  <c r="E44" i="5" s="1"/>
  <c r="E43" i="5" s="1"/>
  <c r="E42" i="5" s="1"/>
  <c r="E41" i="5" s="1"/>
  <c r="E40" i="5" s="1"/>
  <c r="E39" i="5" s="1"/>
  <c r="E38" i="5" s="1"/>
  <c r="E37" i="5" s="1"/>
  <c r="E36" i="5" s="1"/>
  <c r="E35" i="5" s="1"/>
  <c r="E34" i="5" s="1"/>
  <c r="E33" i="5" s="1"/>
  <c r="E32" i="5" s="1"/>
  <c r="E31" i="5" s="1"/>
  <c r="E30" i="5" s="1"/>
  <c r="E29" i="5" s="1"/>
  <c r="E28" i="5" s="1"/>
  <c r="E27" i="5" s="1"/>
  <c r="E26" i="5" s="1"/>
  <c r="E25" i="5" s="1"/>
  <c r="E24" i="5" s="1"/>
  <c r="E23" i="5" s="1"/>
  <c r="E22" i="5" s="1"/>
  <c r="B141" i="5"/>
  <c r="A142" i="5"/>
  <c r="B142" i="5"/>
  <c r="H217" i="5"/>
  <c r="H219" i="5"/>
  <c r="A220" i="5"/>
  <c r="B220" i="5"/>
  <c r="E390" i="5"/>
  <c r="A389" i="5"/>
  <c r="C390" i="5"/>
  <c r="G389" i="5"/>
  <c r="C26" i="5" l="1"/>
  <c r="E21" i="5"/>
  <c r="H22" i="5"/>
  <c r="F390" i="5"/>
  <c r="H142" i="5"/>
  <c r="A143" i="5"/>
  <c r="B143" i="5"/>
  <c r="A221" i="5"/>
  <c r="B221" i="5"/>
  <c r="H220" i="5"/>
  <c r="E391" i="5"/>
  <c r="A390" i="5"/>
  <c r="B390" i="5"/>
  <c r="H390" i="5" s="1"/>
  <c r="C391" i="5"/>
  <c r="E20" i="5" l="1"/>
  <c r="H21" i="5"/>
  <c r="C27" i="5"/>
  <c r="H143" i="5"/>
  <c r="B144" i="5"/>
  <c r="A144" i="5"/>
  <c r="E392" i="5"/>
  <c r="A391" i="5"/>
  <c r="B391" i="5"/>
  <c r="H391" i="5" s="1"/>
  <c r="A222" i="5"/>
  <c r="B222" i="5"/>
  <c r="G390" i="5"/>
  <c r="H221" i="5"/>
  <c r="C392" i="5"/>
  <c r="C28" i="5" l="1"/>
  <c r="E19" i="5"/>
  <c r="H20" i="5"/>
  <c r="F391" i="5"/>
  <c r="G391" i="5"/>
  <c r="B145" i="5"/>
  <c r="A145" i="5"/>
  <c r="H144" i="5"/>
  <c r="H222" i="5"/>
  <c r="A223" i="5"/>
  <c r="B223" i="5"/>
  <c r="E393" i="5"/>
  <c r="A392" i="5"/>
  <c r="B392" i="5"/>
  <c r="H392" i="5" s="1"/>
  <c r="C393" i="5"/>
  <c r="E18" i="5" l="1"/>
  <c r="H19" i="5"/>
  <c r="F392" i="5"/>
  <c r="C30" i="5"/>
  <c r="B146" i="5"/>
  <c r="A146" i="5"/>
  <c r="H145" i="5"/>
  <c r="E394" i="5"/>
  <c r="A393" i="5"/>
  <c r="B393" i="5"/>
  <c r="F393" i="5" s="1"/>
  <c r="H223" i="5"/>
  <c r="G392" i="5"/>
  <c r="A224" i="5"/>
  <c r="B224" i="5"/>
  <c r="C394" i="5"/>
  <c r="C31" i="5" l="1"/>
  <c r="G393" i="5"/>
  <c r="E17" i="5"/>
  <c r="H18" i="5"/>
  <c r="B147" i="5"/>
  <c r="A147" i="5"/>
  <c r="H146" i="5"/>
  <c r="H393" i="5"/>
  <c r="H224" i="5"/>
  <c r="E395" i="5"/>
  <c r="A394" i="5"/>
  <c r="B394" i="5"/>
  <c r="H394" i="5" s="1"/>
  <c r="C395" i="5"/>
  <c r="F394" i="5" l="1"/>
  <c r="E16" i="5"/>
  <c r="H17" i="5"/>
  <c r="C32" i="5"/>
  <c r="C114" i="5"/>
  <c r="B148" i="5"/>
  <c r="A148" i="5"/>
  <c r="H147" i="5"/>
  <c r="G394" i="5"/>
  <c r="E396" i="5"/>
  <c r="A395" i="5"/>
  <c r="B395" i="5"/>
  <c r="H395" i="5" s="1"/>
  <c r="C396" i="5"/>
  <c r="F395" i="5" l="1"/>
  <c r="C33" i="5"/>
  <c r="E15" i="5"/>
  <c r="H16" i="5"/>
  <c r="C115" i="5"/>
  <c r="A149" i="5"/>
  <c r="B149" i="5"/>
  <c r="G395" i="5"/>
  <c r="E397" i="5"/>
  <c r="A396" i="5"/>
  <c r="B396" i="5"/>
  <c r="H396" i="5" s="1"/>
  <c r="C397" i="5"/>
  <c r="E14" i="5" l="1"/>
  <c r="H15" i="5"/>
  <c r="C34" i="5"/>
  <c r="F396" i="5"/>
  <c r="G396" i="5" s="1"/>
  <c r="F397" i="5"/>
  <c r="C116" i="5"/>
  <c r="H149" i="5"/>
  <c r="A150" i="5"/>
  <c r="B150" i="5"/>
  <c r="E398" i="5"/>
  <c r="A397" i="5"/>
  <c r="B397" i="5"/>
  <c r="H397" i="5" s="1"/>
  <c r="C398" i="5"/>
  <c r="C35" i="5" l="1"/>
  <c r="E13" i="5"/>
  <c r="H14" i="5"/>
  <c r="C117" i="5"/>
  <c r="H150" i="5"/>
  <c r="A151" i="5"/>
  <c r="B151" i="5"/>
  <c r="G397" i="5"/>
  <c r="E399" i="5"/>
  <c r="A398" i="5"/>
  <c r="B398" i="5"/>
  <c r="H398" i="5" s="1"/>
  <c r="C399" i="5"/>
  <c r="E12" i="5" l="1"/>
  <c r="H13" i="5"/>
  <c r="F398" i="5"/>
  <c r="C37" i="5"/>
  <c r="C118" i="5"/>
  <c r="H151" i="5"/>
  <c r="A152" i="5"/>
  <c r="B152" i="5"/>
  <c r="G398" i="5"/>
  <c r="E400" i="5"/>
  <c r="A399" i="5"/>
  <c r="B399" i="5"/>
  <c r="H399" i="5" s="1"/>
  <c r="C400" i="5"/>
  <c r="C38" i="5" l="1"/>
  <c r="F399" i="5"/>
  <c r="E11" i="5"/>
  <c r="H12" i="5"/>
  <c r="C119" i="5"/>
  <c r="G399" i="5"/>
  <c r="H152" i="5"/>
  <c r="B153" i="5"/>
  <c r="A153" i="5"/>
  <c r="E401" i="5"/>
  <c r="A400" i="5"/>
  <c r="B400" i="5"/>
  <c r="H400" i="5" s="1"/>
  <c r="C401" i="5"/>
  <c r="F400" i="5" l="1"/>
  <c r="E10" i="5"/>
  <c r="H11" i="5"/>
  <c r="C120" i="5"/>
  <c r="C121" i="5" s="1"/>
  <c r="C122" i="5" s="1"/>
  <c r="C123" i="5" s="1"/>
  <c r="C124" i="5" s="1"/>
  <c r="C125" i="5" s="1"/>
  <c r="C126" i="5" s="1"/>
  <c r="C127" i="5" s="1"/>
  <c r="F401" i="5"/>
  <c r="C39" i="5"/>
  <c r="B154" i="5"/>
  <c r="A154" i="5"/>
  <c r="H153" i="5"/>
  <c r="G400" i="5"/>
  <c r="E402" i="5"/>
  <c r="A401" i="5"/>
  <c r="B401" i="5"/>
  <c r="H401" i="5" s="1"/>
  <c r="C402" i="5"/>
  <c r="C40" i="5" l="1"/>
  <c r="C128" i="5"/>
  <c r="E9" i="5"/>
  <c r="H10" i="5"/>
  <c r="G401" i="5"/>
  <c r="B155" i="5"/>
  <c r="A155" i="5"/>
  <c r="H154" i="5"/>
  <c r="E403" i="5"/>
  <c r="A402" i="5"/>
  <c r="B402" i="5"/>
  <c r="H402" i="5" s="1"/>
  <c r="C403" i="5"/>
  <c r="E8" i="5" l="1"/>
  <c r="H9" i="5"/>
  <c r="F402" i="5"/>
  <c r="C129" i="5"/>
  <c r="F403" i="5"/>
  <c r="C41" i="5"/>
  <c r="A156" i="5"/>
  <c r="B156" i="5"/>
  <c r="G402" i="5"/>
  <c r="E404" i="5"/>
  <c r="B403" i="5"/>
  <c r="H403" i="5" s="1"/>
  <c r="A403" i="5"/>
  <c r="C404" i="5"/>
  <c r="C42" i="5" l="1"/>
  <c r="C130" i="5"/>
  <c r="E7" i="5"/>
  <c r="H8" i="5"/>
  <c r="A157" i="5"/>
  <c r="B157" i="5"/>
  <c r="H156" i="5"/>
  <c r="G403" i="5"/>
  <c r="E405" i="5"/>
  <c r="A404" i="5"/>
  <c r="B404" i="5"/>
  <c r="H404" i="5" s="1"/>
  <c r="C405" i="5"/>
  <c r="F404" i="5" l="1"/>
  <c r="C131" i="5"/>
  <c r="E6" i="5"/>
  <c r="H7" i="5"/>
  <c r="F405" i="5"/>
  <c r="C43" i="5"/>
  <c r="G404" i="5"/>
  <c r="A158" i="5"/>
  <c r="B158" i="5"/>
  <c r="H157" i="5"/>
  <c r="E406" i="5"/>
  <c r="A405" i="5"/>
  <c r="B405" i="5"/>
  <c r="H405" i="5" s="1"/>
  <c r="C406" i="5"/>
  <c r="E5" i="5" l="1"/>
  <c r="H6" i="5"/>
  <c r="C132" i="5"/>
  <c r="C44" i="5"/>
  <c r="G405" i="5"/>
  <c r="H158" i="5"/>
  <c r="A159" i="5"/>
  <c r="B159" i="5"/>
  <c r="B406" i="5"/>
  <c r="H406" i="5" s="1"/>
  <c r="A406" i="5"/>
  <c r="E407" i="5"/>
  <c r="C407" i="5"/>
  <c r="F406" i="5" l="1"/>
  <c r="C45" i="5"/>
  <c r="C133" i="5"/>
  <c r="E4" i="5"/>
  <c r="H5" i="5"/>
  <c r="B160" i="5"/>
  <c r="A160" i="5"/>
  <c r="H159" i="5"/>
  <c r="G406" i="5"/>
  <c r="A407" i="5"/>
  <c r="E408" i="5"/>
  <c r="B407" i="5"/>
  <c r="H407" i="5" s="1"/>
  <c r="C408" i="5"/>
  <c r="F407" i="5" l="1"/>
  <c r="C134" i="5"/>
  <c r="A4" i="5"/>
  <c r="B4" i="5"/>
  <c r="F408" i="5"/>
  <c r="C46" i="5"/>
  <c r="G407" i="5"/>
  <c r="B161" i="5"/>
  <c r="A161" i="5"/>
  <c r="H160" i="5"/>
  <c r="A408" i="5"/>
  <c r="B408" i="5"/>
  <c r="H408" i="5" s="1"/>
  <c r="E409" i="5"/>
  <c r="C409" i="5"/>
  <c r="C47" i="5" l="1"/>
  <c r="F4" i="5"/>
  <c r="G4" i="5" s="1"/>
  <c r="H4" i="5"/>
  <c r="C135" i="5"/>
  <c r="B162" i="5"/>
  <c r="A162" i="5"/>
  <c r="H161" i="5"/>
  <c r="A409" i="5"/>
  <c r="E410" i="5"/>
  <c r="B409" i="5"/>
  <c r="H409" i="5" s="1"/>
  <c r="G408" i="5"/>
  <c r="C410" i="5"/>
  <c r="C136" i="5" l="1"/>
  <c r="F409" i="5"/>
  <c r="C48" i="5"/>
  <c r="G409" i="5"/>
  <c r="B163" i="5"/>
  <c r="A163" i="5"/>
  <c r="A410" i="5"/>
  <c r="E411" i="5"/>
  <c r="B410" i="5"/>
  <c r="H410" i="5" s="1"/>
  <c r="C411" i="5"/>
  <c r="F411" i="5" l="1"/>
  <c r="C49" i="5"/>
  <c r="F410" i="5"/>
  <c r="C137" i="5"/>
  <c r="G410" i="5"/>
  <c r="B164" i="5"/>
  <c r="A164" i="5"/>
  <c r="H163" i="5"/>
  <c r="A411" i="5"/>
  <c r="E412" i="5"/>
  <c r="B411" i="5"/>
  <c r="H411" i="5" s="1"/>
  <c r="C412" i="5"/>
  <c r="C138" i="5" l="1"/>
  <c r="C50" i="5"/>
  <c r="H164" i="5"/>
  <c r="A165" i="5"/>
  <c r="B165" i="5"/>
  <c r="A412" i="5"/>
  <c r="E413" i="5"/>
  <c r="B412" i="5"/>
  <c r="H412" i="5" s="1"/>
  <c r="G411" i="5"/>
  <c r="C413" i="5"/>
  <c r="C51" i="5" l="1"/>
  <c r="C139" i="5"/>
  <c r="F412" i="5"/>
  <c r="H165" i="5"/>
  <c r="A166" i="5"/>
  <c r="B166" i="5"/>
  <c r="G412" i="5"/>
  <c r="A413" i="5"/>
  <c r="E414" i="5"/>
  <c r="B413" i="5"/>
  <c r="H413" i="5" s="1"/>
  <c r="C414" i="5"/>
  <c r="C140" i="5" l="1"/>
  <c r="F413" i="5"/>
  <c r="C52" i="5"/>
  <c r="H166" i="5"/>
  <c r="A167" i="5"/>
  <c r="B167" i="5"/>
  <c r="G413" i="5"/>
  <c r="A414" i="5"/>
  <c r="E415" i="5"/>
  <c r="B414" i="5"/>
  <c r="H414" i="5" s="1"/>
  <c r="C415" i="5"/>
  <c r="C53" i="5" l="1"/>
  <c r="C141" i="5"/>
  <c r="F414" i="5"/>
  <c r="G414" i="5" s="1"/>
  <c r="H167" i="5"/>
  <c r="A168" i="5"/>
  <c r="B168" i="5"/>
  <c r="A415" i="5"/>
  <c r="E416" i="5"/>
  <c r="B415" i="5"/>
  <c r="H415" i="5" s="1"/>
  <c r="C416" i="5"/>
  <c r="F141" i="5" l="1"/>
  <c r="G141" i="5" s="1"/>
  <c r="C142" i="5"/>
  <c r="H141" i="5"/>
  <c r="C54" i="5"/>
  <c r="F415" i="5"/>
  <c r="B169" i="5"/>
  <c r="A169" i="5"/>
  <c r="G415" i="5"/>
  <c r="H168" i="5"/>
  <c r="A416" i="5"/>
  <c r="E417" i="5"/>
  <c r="B416" i="5"/>
  <c r="H416" i="5" s="1"/>
  <c r="C417" i="5"/>
  <c r="F416" i="5" l="1"/>
  <c r="G416" i="5" s="1"/>
  <c r="C55" i="5"/>
  <c r="F142" i="5"/>
  <c r="G142" i="5" s="1"/>
  <c r="C143" i="5"/>
  <c r="B170" i="5"/>
  <c r="A170" i="5"/>
  <c r="A417" i="5"/>
  <c r="E418" i="5"/>
  <c r="B417" i="5"/>
  <c r="C418" i="5"/>
  <c r="F417" i="5" l="1"/>
  <c r="F143" i="5"/>
  <c r="G143" i="5" s="1"/>
  <c r="C144" i="5"/>
  <c r="C56" i="5"/>
  <c r="B171" i="5"/>
  <c r="A171" i="5"/>
  <c r="H170" i="5"/>
  <c r="G417" i="5"/>
  <c r="A418" i="5"/>
  <c r="E419" i="5"/>
  <c r="B418" i="5"/>
  <c r="H418" i="5" s="1"/>
  <c r="C419" i="5"/>
  <c r="C57" i="5" l="1"/>
  <c r="F418" i="5"/>
  <c r="C145" i="5"/>
  <c r="F144" i="5"/>
  <c r="G144" i="5" s="1"/>
  <c r="A172" i="5"/>
  <c r="B172" i="5"/>
  <c r="H171" i="5"/>
  <c r="G418" i="5"/>
  <c r="A419" i="5"/>
  <c r="E420" i="5"/>
  <c r="B419" i="5"/>
  <c r="H419" i="5" s="1"/>
  <c r="C420" i="5"/>
  <c r="C146" i="5" l="1"/>
  <c r="F145" i="5"/>
  <c r="G145" i="5" s="1"/>
  <c r="F419" i="5"/>
  <c r="C58" i="5"/>
  <c r="G419" i="5"/>
  <c r="H172" i="5"/>
  <c r="A173" i="5"/>
  <c r="B173" i="5"/>
  <c r="A420" i="5"/>
  <c r="E421" i="5"/>
  <c r="B420" i="5"/>
  <c r="H420" i="5" s="1"/>
  <c r="C421" i="5"/>
  <c r="F420" i="5" l="1"/>
  <c r="C59" i="5"/>
  <c r="F146" i="5"/>
  <c r="G146" i="5" s="1"/>
  <c r="C147" i="5"/>
  <c r="G420" i="5"/>
  <c r="H173" i="5"/>
  <c r="A174" i="5"/>
  <c r="B174" i="5"/>
  <c r="A421" i="5"/>
  <c r="E422" i="5"/>
  <c r="B421" i="5"/>
  <c r="H421" i="5" s="1"/>
  <c r="C422" i="5"/>
  <c r="C148" i="5" l="1"/>
  <c r="F147" i="5"/>
  <c r="G147" i="5" s="1"/>
  <c r="C64" i="5"/>
  <c r="F421" i="5"/>
  <c r="G421" i="5" s="1"/>
  <c r="A175" i="5"/>
  <c r="B175" i="5"/>
  <c r="H174" i="5"/>
  <c r="A422" i="5"/>
  <c r="B422" i="5"/>
  <c r="H422" i="5" s="1"/>
  <c r="E423" i="5"/>
  <c r="C423" i="5"/>
  <c r="C65" i="5" l="1"/>
  <c r="C149" i="5"/>
  <c r="F148" i="5"/>
  <c r="G148" i="5" s="1"/>
  <c r="H148" i="5"/>
  <c r="F422" i="5"/>
  <c r="H175" i="5"/>
  <c r="A176" i="5"/>
  <c r="B176" i="5"/>
  <c r="G422" i="5"/>
  <c r="A423" i="5"/>
  <c r="E424" i="5"/>
  <c r="B423" i="5"/>
  <c r="H423" i="5" s="1"/>
  <c r="C424" i="5"/>
  <c r="C150" i="5" l="1"/>
  <c r="F149" i="5"/>
  <c r="G149" i="5" s="1"/>
  <c r="C66" i="5"/>
  <c r="F423" i="5"/>
  <c r="B177" i="5"/>
  <c r="A177" i="5"/>
  <c r="A424" i="5"/>
  <c r="E425" i="5"/>
  <c r="B424" i="5"/>
  <c r="H424" i="5" s="1"/>
  <c r="G423" i="5"/>
  <c r="C425" i="5"/>
  <c r="F424" i="5" l="1"/>
  <c r="C67" i="5"/>
  <c r="C151" i="5"/>
  <c r="F150" i="5"/>
  <c r="G150" i="5" s="1"/>
  <c r="G424" i="5"/>
  <c r="B178" i="5"/>
  <c r="A178" i="5"/>
  <c r="H177" i="5"/>
  <c r="A425" i="5"/>
  <c r="B425" i="5"/>
  <c r="H425" i="5" s="1"/>
  <c r="E426" i="5"/>
  <c r="C426" i="5"/>
  <c r="C152" i="5" l="1"/>
  <c r="F151" i="5"/>
  <c r="G151" i="5" s="1"/>
  <c r="C68" i="5"/>
  <c r="F425" i="5"/>
  <c r="B179" i="5"/>
  <c r="A179" i="5"/>
  <c r="H178" i="5"/>
  <c r="G425" i="5"/>
  <c r="A426" i="5"/>
  <c r="B426" i="5"/>
  <c r="H426" i="5" s="1"/>
  <c r="E427" i="5"/>
  <c r="C427" i="5"/>
  <c r="C69" i="5" l="1"/>
  <c r="F426" i="5"/>
  <c r="C153" i="5"/>
  <c r="F152" i="5"/>
  <c r="G152" i="5" s="1"/>
  <c r="G426" i="5"/>
  <c r="B180" i="5"/>
  <c r="A180" i="5"/>
  <c r="H179" i="5"/>
  <c r="A427" i="5"/>
  <c r="E428" i="5"/>
  <c r="B427" i="5"/>
  <c r="H427" i="5" s="1"/>
  <c r="C428" i="5"/>
  <c r="C154" i="5" l="1"/>
  <c r="F153" i="5"/>
  <c r="G153" i="5" s="1"/>
  <c r="C70" i="5"/>
  <c r="F427" i="5"/>
  <c r="G427" i="5" s="1"/>
  <c r="H180" i="5"/>
  <c r="A181" i="5"/>
  <c r="B181" i="5"/>
  <c r="A428" i="5"/>
  <c r="E429" i="5"/>
  <c r="B428" i="5"/>
  <c r="H428" i="5" s="1"/>
  <c r="C429" i="5"/>
  <c r="F429" i="5" l="1"/>
  <c r="G429" i="5" s="1"/>
  <c r="F428" i="5"/>
  <c r="G428" i="5" s="1"/>
  <c r="C71" i="5"/>
  <c r="C155" i="5"/>
  <c r="F154" i="5"/>
  <c r="G154" i="5" s="1"/>
  <c r="H181" i="5"/>
  <c r="A182" i="5"/>
  <c r="B182" i="5"/>
  <c r="A429" i="5"/>
  <c r="E430" i="5"/>
  <c r="B429" i="5"/>
  <c r="H429" i="5" s="1"/>
  <c r="C430" i="5"/>
  <c r="C156" i="5" l="1"/>
  <c r="F155" i="5"/>
  <c r="G155" i="5" s="1"/>
  <c r="H155" i="5"/>
  <c r="C72" i="5"/>
  <c r="A183" i="5"/>
  <c r="B183" i="5"/>
  <c r="H182" i="5"/>
  <c r="A430" i="5"/>
  <c r="E431" i="5"/>
  <c r="B430" i="5"/>
  <c r="H430" i="5" s="1"/>
  <c r="C431" i="5"/>
  <c r="F430" i="5" l="1"/>
  <c r="C73" i="5"/>
  <c r="C157" i="5"/>
  <c r="F156" i="5"/>
  <c r="G156" i="5" s="1"/>
  <c r="G430" i="5"/>
  <c r="B184" i="5"/>
  <c r="A184" i="5"/>
  <c r="A431" i="5"/>
  <c r="E432" i="5"/>
  <c r="B431" i="5"/>
  <c r="H431" i="5" s="1"/>
  <c r="C432" i="5"/>
  <c r="C74" i="5" l="1"/>
  <c r="C158" i="5"/>
  <c r="F157" i="5"/>
  <c r="G157" i="5" s="1"/>
  <c r="F431" i="5"/>
  <c r="G431" i="5" s="1"/>
  <c r="B185" i="5"/>
  <c r="A185" i="5"/>
  <c r="H184" i="5"/>
  <c r="A432" i="5"/>
  <c r="E433" i="5"/>
  <c r="B432" i="5"/>
  <c r="H432" i="5" s="1"/>
  <c r="C433" i="5"/>
  <c r="F432" i="5" l="1"/>
  <c r="C159" i="5"/>
  <c r="F158" i="5"/>
  <c r="G158" i="5" s="1"/>
  <c r="C75" i="5"/>
  <c r="G432" i="5"/>
  <c r="H185" i="5"/>
  <c r="B186" i="5"/>
  <c r="A186" i="5"/>
  <c r="A433" i="5"/>
  <c r="E434" i="5"/>
  <c r="B433" i="5"/>
  <c r="H433" i="5" s="1"/>
  <c r="C434" i="5"/>
  <c r="C76" i="5" l="1"/>
  <c r="C160" i="5"/>
  <c r="F159" i="5"/>
  <c r="G159" i="5" s="1"/>
  <c r="F433" i="5"/>
  <c r="B187" i="5"/>
  <c r="A187" i="5"/>
  <c r="H186" i="5"/>
  <c r="G433" i="5"/>
  <c r="A434" i="5"/>
  <c r="E435" i="5"/>
  <c r="B434" i="5"/>
  <c r="H434" i="5" s="1"/>
  <c r="C435" i="5"/>
  <c r="C161" i="5" l="1"/>
  <c r="F160" i="5"/>
  <c r="G160" i="5" s="1"/>
  <c r="C77" i="5"/>
  <c r="F434" i="5"/>
  <c r="G434" i="5" s="1"/>
  <c r="B188" i="5"/>
  <c r="A188" i="5"/>
  <c r="H187" i="5"/>
  <c r="A435" i="5"/>
  <c r="B435" i="5"/>
  <c r="F435" i="5" s="1"/>
  <c r="E436" i="5"/>
  <c r="C436" i="5"/>
  <c r="C78" i="5" l="1"/>
  <c r="G435" i="5"/>
  <c r="C162" i="5"/>
  <c r="F161" i="5"/>
  <c r="G161" i="5" s="1"/>
  <c r="H435" i="5"/>
  <c r="H188" i="5"/>
  <c r="A189" i="5"/>
  <c r="B189" i="5"/>
  <c r="A436" i="5"/>
  <c r="E437" i="5"/>
  <c r="B436" i="5"/>
  <c r="H436" i="5" s="1"/>
  <c r="C437" i="5"/>
  <c r="C163" i="5" l="1"/>
  <c r="F162" i="5"/>
  <c r="G162" i="5" s="1"/>
  <c r="H162" i="5"/>
  <c r="C79" i="5"/>
  <c r="F436" i="5"/>
  <c r="A190" i="5"/>
  <c r="B190" i="5"/>
  <c r="H189" i="5"/>
  <c r="G436" i="5"/>
  <c r="A437" i="5"/>
  <c r="E438" i="5"/>
  <c r="B437" i="5"/>
  <c r="H437" i="5" s="1"/>
  <c r="C438" i="5"/>
  <c r="C80" i="5" l="1"/>
  <c r="C164" i="5"/>
  <c r="F163" i="5"/>
  <c r="G163" i="5" s="1"/>
  <c r="F437" i="5"/>
  <c r="G437" i="5"/>
  <c r="A191" i="5"/>
  <c r="B191" i="5"/>
  <c r="A438" i="5"/>
  <c r="E439" i="5"/>
  <c r="B438" i="5"/>
  <c r="H438" i="5" s="1"/>
  <c r="C439" i="5"/>
  <c r="F438" i="5" l="1"/>
  <c r="G438" i="5" s="1"/>
  <c r="C81" i="5"/>
  <c r="C165" i="5"/>
  <c r="F164" i="5"/>
  <c r="G164" i="5" s="1"/>
  <c r="H191" i="5"/>
  <c r="B192" i="5"/>
  <c r="A192" i="5"/>
  <c r="A439" i="5"/>
  <c r="B439" i="5"/>
  <c r="H439" i="5" s="1"/>
  <c r="E440" i="5"/>
  <c r="C440" i="5"/>
  <c r="C166" i="5" l="1"/>
  <c r="F165" i="5"/>
  <c r="G165" i="5" s="1"/>
  <c r="C82" i="5"/>
  <c r="F439" i="5"/>
  <c r="B193" i="5"/>
  <c r="A193" i="5"/>
  <c r="G439" i="5"/>
  <c r="H192" i="5"/>
  <c r="A440" i="5"/>
  <c r="E441" i="5"/>
  <c r="B440" i="5"/>
  <c r="H440" i="5" s="1"/>
  <c r="C441" i="5"/>
  <c r="C83" i="5" l="1"/>
  <c r="C167" i="5"/>
  <c r="F166" i="5"/>
  <c r="G166" i="5" s="1"/>
  <c r="F440" i="5"/>
  <c r="B194" i="5"/>
  <c r="A194" i="5"/>
  <c r="H193" i="5"/>
  <c r="G440" i="5"/>
  <c r="A441" i="5"/>
  <c r="E442" i="5"/>
  <c r="B441" i="5"/>
  <c r="H441" i="5" s="1"/>
  <c r="C442" i="5"/>
  <c r="F441" i="5" l="1"/>
  <c r="G441" i="5" s="1"/>
  <c r="C168" i="5"/>
  <c r="F167" i="5"/>
  <c r="G167" i="5" s="1"/>
  <c r="C84" i="5"/>
  <c r="B195" i="5"/>
  <c r="A195" i="5"/>
  <c r="H194" i="5"/>
  <c r="A442" i="5"/>
  <c r="B442" i="5"/>
  <c r="H442" i="5" s="1"/>
  <c r="E443" i="5"/>
  <c r="C443" i="5"/>
  <c r="F443" i="5" l="1"/>
  <c r="C85" i="5"/>
  <c r="C169" i="5"/>
  <c r="F168" i="5"/>
  <c r="G168" i="5" s="1"/>
  <c r="F442" i="5"/>
  <c r="A196" i="5"/>
  <c r="B196" i="5"/>
  <c r="H195" i="5"/>
  <c r="G442" i="5"/>
  <c r="A443" i="5"/>
  <c r="E444" i="5"/>
  <c r="B443" i="5"/>
  <c r="H443" i="5" s="1"/>
  <c r="C444" i="5"/>
  <c r="C170" i="5" l="1"/>
  <c r="F169" i="5"/>
  <c r="G169" i="5" s="1"/>
  <c r="H169" i="5"/>
  <c r="C86" i="5"/>
  <c r="G443" i="5"/>
  <c r="A197" i="5"/>
  <c r="B197" i="5"/>
  <c r="H196" i="5"/>
  <c r="A444" i="5"/>
  <c r="B444" i="5"/>
  <c r="H444" i="5" s="1"/>
  <c r="E445" i="5"/>
  <c r="C445" i="5"/>
  <c r="C87" i="5" l="1"/>
  <c r="C171" i="5"/>
  <c r="F170" i="5"/>
  <c r="G170" i="5" s="1"/>
  <c r="F444" i="5"/>
  <c r="G444" i="5" s="1"/>
  <c r="A198" i="5"/>
  <c r="B198" i="5"/>
  <c r="A445" i="5"/>
  <c r="E446" i="5"/>
  <c r="B445" i="5"/>
  <c r="H445" i="5" s="1"/>
  <c r="C446" i="5"/>
  <c r="C172" i="5" l="1"/>
  <c r="F171" i="5"/>
  <c r="G171" i="5" s="1"/>
  <c r="C88" i="5"/>
  <c r="F445" i="5"/>
  <c r="G445" i="5"/>
  <c r="A199" i="5"/>
  <c r="B199" i="5"/>
  <c r="H198" i="5"/>
  <c r="A446" i="5"/>
  <c r="B446" i="5"/>
  <c r="H446" i="5" s="1"/>
  <c r="E447" i="5"/>
  <c r="C447" i="5"/>
  <c r="C89" i="5" l="1"/>
  <c r="C173" i="5"/>
  <c r="F172" i="5"/>
  <c r="G172" i="5" s="1"/>
  <c r="F446" i="5"/>
  <c r="G446" i="5" s="1"/>
  <c r="H199" i="5"/>
  <c r="A200" i="5"/>
  <c r="B200" i="5"/>
  <c r="A447" i="5"/>
  <c r="B447" i="5"/>
  <c r="H447" i="5" s="1"/>
  <c r="E448" i="5"/>
  <c r="C448" i="5"/>
  <c r="C174" i="5" l="1"/>
  <c r="F173" i="5"/>
  <c r="G173" i="5" s="1"/>
  <c r="F447" i="5"/>
  <c r="C90" i="5"/>
  <c r="G447" i="5"/>
  <c r="H200" i="5"/>
  <c r="B201" i="5"/>
  <c r="A201" i="5"/>
  <c r="A448" i="5"/>
  <c r="E449" i="5"/>
  <c r="B448" i="5"/>
  <c r="H448" i="5" s="1"/>
  <c r="C449" i="5"/>
  <c r="C175" i="5" l="1"/>
  <c r="F174" i="5"/>
  <c r="G174" i="5" s="1"/>
  <c r="F448" i="5"/>
  <c r="G448" i="5" s="1"/>
  <c r="C91" i="5"/>
  <c r="B202" i="5"/>
  <c r="A202" i="5"/>
  <c r="H201" i="5"/>
  <c r="A449" i="5"/>
  <c r="E450" i="5"/>
  <c r="B449" i="5"/>
  <c r="C450" i="5"/>
  <c r="C176" i="5" l="1"/>
  <c r="F175" i="5"/>
  <c r="G175" i="5" s="1"/>
  <c r="C92" i="5"/>
  <c r="F449" i="5"/>
  <c r="G449" i="5" s="1"/>
  <c r="B203" i="5"/>
  <c r="A203" i="5"/>
  <c r="H202" i="5"/>
  <c r="H449" i="5"/>
  <c r="A450" i="5"/>
  <c r="E451" i="5"/>
  <c r="B450" i="5"/>
  <c r="H450" i="5" s="1"/>
  <c r="C451" i="5"/>
  <c r="C177" i="5" l="1"/>
  <c r="F176" i="5"/>
  <c r="G176" i="5" s="1"/>
  <c r="H176" i="5"/>
  <c r="C93" i="5"/>
  <c r="F450" i="5"/>
  <c r="G450" i="5"/>
  <c r="A204" i="5"/>
  <c r="B204" i="5"/>
  <c r="H203" i="5"/>
  <c r="A451" i="5"/>
  <c r="E452" i="5"/>
  <c r="B451" i="5"/>
  <c r="H451" i="5" s="1"/>
  <c r="C452" i="5"/>
  <c r="F451" i="5" l="1"/>
  <c r="C94" i="5"/>
  <c r="C178" i="5"/>
  <c r="F177" i="5"/>
  <c r="G177" i="5" s="1"/>
  <c r="A205" i="5"/>
  <c r="B205" i="5"/>
  <c r="A452" i="5"/>
  <c r="E453" i="5"/>
  <c r="B452" i="5"/>
  <c r="H452" i="5" s="1"/>
  <c r="G451" i="5"/>
  <c r="C453" i="5"/>
  <c r="C345" i="5"/>
  <c r="F345" i="5" s="1"/>
  <c r="D415" i="2"/>
  <c r="D414" i="2"/>
  <c r="D413" i="2"/>
  <c r="D412" i="2"/>
  <c r="D411" i="2"/>
  <c r="D410" i="2"/>
  <c r="A76" i="3"/>
  <c r="A77" i="3" s="1"/>
  <c r="C75" i="3"/>
  <c r="C69" i="3"/>
  <c r="C64" i="3"/>
  <c r="C60" i="3"/>
  <c r="A62" i="3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C72" i="3" s="1"/>
  <c r="A61" i="3"/>
  <c r="C61" i="3" s="1"/>
  <c r="A26" i="3"/>
  <c r="C26" i="3" s="1"/>
  <c r="C25" i="3"/>
  <c r="C16" i="3"/>
  <c r="A17" i="3"/>
  <c r="C17" i="3" s="1"/>
  <c r="M19" i="3"/>
  <c r="M18" i="3"/>
  <c r="O17" i="3"/>
  <c r="O19" i="3" s="1"/>
  <c r="C8" i="3"/>
  <c r="A9" i="3"/>
  <c r="A10" i="3" s="1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12" i="2"/>
  <c r="D213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7" i="2"/>
  <c r="D6" i="2"/>
  <c r="D5" i="2"/>
  <c r="D4" i="2"/>
  <c r="D3" i="2"/>
  <c r="D2" i="2"/>
  <c r="D8" i="2"/>
  <c r="J13" i="2"/>
  <c r="J12" i="2"/>
  <c r="J11" i="2"/>
  <c r="J10" i="2"/>
  <c r="J9" i="2"/>
  <c r="J8" i="2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21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5" i="1"/>
  <c r="G4" i="1"/>
  <c r="G3" i="1"/>
  <c r="G2" i="1"/>
  <c r="G6" i="1"/>
  <c r="F453" i="5" l="1"/>
  <c r="C179" i="5"/>
  <c r="F178" i="5"/>
  <c r="G178" i="5" s="1"/>
  <c r="C95" i="5"/>
  <c r="F452" i="5"/>
  <c r="G452" i="5" s="1"/>
  <c r="H205" i="5"/>
  <c r="A206" i="5"/>
  <c r="B206" i="5"/>
  <c r="A453" i="5"/>
  <c r="E454" i="5"/>
  <c r="B453" i="5"/>
  <c r="H453" i="5" s="1"/>
  <c r="C346" i="5"/>
  <c r="F346" i="5" s="1"/>
  <c r="G345" i="5"/>
  <c r="C454" i="5"/>
  <c r="C76" i="3"/>
  <c r="C62" i="3"/>
  <c r="A27" i="3"/>
  <c r="C27" i="3" s="1"/>
  <c r="C70" i="3"/>
  <c r="C77" i="3"/>
  <c r="A78" i="3"/>
  <c r="A79" i="3" s="1"/>
  <c r="A80" i="3" s="1"/>
  <c r="C80" i="3" s="1"/>
  <c r="A28" i="3"/>
  <c r="C28" i="3" s="1"/>
  <c r="C65" i="3"/>
  <c r="C66" i="3"/>
  <c r="C67" i="3"/>
  <c r="C68" i="3"/>
  <c r="C63" i="3"/>
  <c r="C71" i="3"/>
  <c r="C79" i="3"/>
  <c r="C78" i="3"/>
  <c r="A18" i="3"/>
  <c r="C9" i="3"/>
  <c r="A11" i="3"/>
  <c r="A12" i="3" s="1"/>
  <c r="C10" i="3"/>
  <c r="D9" i="2"/>
  <c r="C96" i="5" l="1"/>
  <c r="C180" i="5"/>
  <c r="F179" i="5"/>
  <c r="G179" i="5" s="1"/>
  <c r="G453" i="5"/>
  <c r="A207" i="5"/>
  <c r="B207" i="5"/>
  <c r="H206" i="5"/>
  <c r="A454" i="5"/>
  <c r="E455" i="5"/>
  <c r="B454" i="5"/>
  <c r="H454" i="5" s="1"/>
  <c r="C347" i="5"/>
  <c r="F347" i="5" s="1"/>
  <c r="G346" i="5"/>
  <c r="C455" i="5"/>
  <c r="A29" i="3"/>
  <c r="A19" i="3"/>
  <c r="C18" i="3"/>
  <c r="C29" i="3"/>
  <c r="A30" i="3"/>
  <c r="C11" i="3"/>
  <c r="A13" i="3"/>
  <c r="C12" i="3"/>
  <c r="D214" i="2"/>
  <c r="D10" i="2"/>
  <c r="C181" i="5" l="1"/>
  <c r="F180" i="5"/>
  <c r="G180" i="5" s="1"/>
  <c r="F454" i="5"/>
  <c r="C97" i="5"/>
  <c r="G454" i="5"/>
  <c r="H207" i="5"/>
  <c r="A208" i="5"/>
  <c r="B208" i="5"/>
  <c r="A455" i="5"/>
  <c r="E456" i="5"/>
  <c r="B455" i="5"/>
  <c r="H455" i="5" s="1"/>
  <c r="C456" i="5"/>
  <c r="C348" i="5"/>
  <c r="F348" i="5" s="1"/>
  <c r="G347" i="5"/>
  <c r="C13" i="3"/>
  <c r="A14" i="3"/>
  <c r="C14" i="3" s="1"/>
  <c r="C19" i="3"/>
  <c r="A20" i="3"/>
  <c r="A31" i="3"/>
  <c r="C30" i="3"/>
  <c r="D215" i="2"/>
  <c r="D11" i="2"/>
  <c r="C98" i="5" l="1"/>
  <c r="F455" i="5"/>
  <c r="C182" i="5"/>
  <c r="F181" i="5"/>
  <c r="G181" i="5" s="1"/>
  <c r="H208" i="5"/>
  <c r="B209" i="5"/>
  <c r="A209" i="5"/>
  <c r="G455" i="5"/>
  <c r="A456" i="5"/>
  <c r="E457" i="5"/>
  <c r="B456" i="5"/>
  <c r="H456" i="5" s="1"/>
  <c r="C349" i="5"/>
  <c r="F349" i="5" s="1"/>
  <c r="G348" i="5"/>
  <c r="C457" i="5"/>
  <c r="C20" i="3"/>
  <c r="A21" i="3"/>
  <c r="C21" i="3" s="1"/>
  <c r="A32" i="3"/>
  <c r="C31" i="3"/>
  <c r="D216" i="2"/>
  <c r="D12" i="2"/>
  <c r="C183" i="5" l="1"/>
  <c r="F182" i="5"/>
  <c r="G182" i="5" s="1"/>
  <c r="F456" i="5"/>
  <c r="C99" i="5"/>
  <c r="G456" i="5"/>
  <c r="B210" i="5"/>
  <c r="A210" i="5"/>
  <c r="H209" i="5"/>
  <c r="A457" i="5"/>
  <c r="E458" i="5"/>
  <c r="B457" i="5"/>
  <c r="H457" i="5" s="1"/>
  <c r="C458" i="5"/>
  <c r="C350" i="5"/>
  <c r="F350" i="5" s="1"/>
  <c r="G349" i="5"/>
  <c r="C32" i="3"/>
  <c r="A33" i="3"/>
  <c r="D217" i="2"/>
  <c r="D13" i="2"/>
  <c r="C184" i="5" l="1"/>
  <c r="F183" i="5"/>
  <c r="G183" i="5" s="1"/>
  <c r="H183" i="5"/>
  <c r="F457" i="5"/>
  <c r="C100" i="5"/>
  <c r="G457" i="5"/>
  <c r="B211" i="5"/>
  <c r="A211" i="5"/>
  <c r="H210" i="5"/>
  <c r="A458" i="5"/>
  <c r="E459" i="5"/>
  <c r="B458" i="5"/>
  <c r="H458" i="5" s="1"/>
  <c r="C459" i="5"/>
  <c r="G350" i="5"/>
  <c r="C351" i="5"/>
  <c r="F351" i="5" s="1"/>
  <c r="A34" i="3"/>
  <c r="C33" i="3"/>
  <c r="D218" i="2"/>
  <c r="D14" i="2"/>
  <c r="F458" i="5" l="1"/>
  <c r="C101" i="5"/>
  <c r="C185" i="5"/>
  <c r="F184" i="5"/>
  <c r="G184" i="5" s="1"/>
  <c r="G458" i="5"/>
  <c r="B212" i="5"/>
  <c r="A212" i="5"/>
  <c r="A459" i="5"/>
  <c r="E460" i="5"/>
  <c r="B459" i="5"/>
  <c r="H459" i="5" s="1"/>
  <c r="H351" i="5"/>
  <c r="G351" i="5"/>
  <c r="C352" i="5"/>
  <c r="F352" i="5" s="1"/>
  <c r="C460" i="5"/>
  <c r="A35" i="3"/>
  <c r="C34" i="3"/>
  <c r="D219" i="2"/>
  <c r="D15" i="2"/>
  <c r="C186" i="5" l="1"/>
  <c r="F185" i="5"/>
  <c r="G185" i="5" s="1"/>
  <c r="F459" i="5"/>
  <c r="C102" i="5"/>
  <c r="A213" i="5"/>
  <c r="B213" i="5"/>
  <c r="H212" i="5"/>
  <c r="G459" i="5"/>
  <c r="A460" i="5"/>
  <c r="E461" i="5"/>
  <c r="B460" i="5"/>
  <c r="H460" i="5" s="1"/>
  <c r="C461" i="5"/>
  <c r="G352" i="5"/>
  <c r="C353" i="5"/>
  <c r="F353" i="5" s="1"/>
  <c r="C35" i="3"/>
  <c r="A36" i="3"/>
  <c r="D220" i="2"/>
  <c r="D16" i="2"/>
  <c r="C187" i="5" l="1"/>
  <c r="F186" i="5"/>
  <c r="G186" i="5" s="1"/>
  <c r="C103" i="5"/>
  <c r="F460" i="5"/>
  <c r="G460" i="5"/>
  <c r="H213" i="5"/>
  <c r="A214" i="5"/>
  <c r="B214" i="5"/>
  <c r="A461" i="5"/>
  <c r="E462" i="5"/>
  <c r="B461" i="5"/>
  <c r="H461" i="5" s="1"/>
  <c r="G353" i="5"/>
  <c r="C354" i="5"/>
  <c r="F354" i="5" s="1"/>
  <c r="C462" i="5"/>
  <c r="C36" i="3"/>
  <c r="A37" i="3"/>
  <c r="D221" i="2"/>
  <c r="D17" i="2"/>
  <c r="C104" i="5" l="1"/>
  <c r="C188" i="5"/>
  <c r="F187" i="5"/>
  <c r="G187" i="5" s="1"/>
  <c r="F461" i="5"/>
  <c r="G461" i="5"/>
  <c r="H214" i="5"/>
  <c r="A215" i="5"/>
  <c r="B215" i="5"/>
  <c r="A462" i="5"/>
  <c r="B462" i="5"/>
  <c r="H462" i="5" s="1"/>
  <c r="E463" i="5"/>
  <c r="G354" i="5"/>
  <c r="C355" i="5"/>
  <c r="F355" i="5" s="1"/>
  <c r="C37" i="3"/>
  <c r="A38" i="3"/>
  <c r="D222" i="2"/>
  <c r="D18" i="2"/>
  <c r="C189" i="5" l="1"/>
  <c r="F188" i="5"/>
  <c r="G188" i="5" s="1"/>
  <c r="C105" i="5"/>
  <c r="F462" i="5"/>
  <c r="H215" i="5"/>
  <c r="B216" i="5"/>
  <c r="A216" i="5"/>
  <c r="A463" i="5"/>
  <c r="E464" i="5"/>
  <c r="B463" i="5"/>
  <c r="F463" i="5" s="1"/>
  <c r="G462" i="5"/>
  <c r="G355" i="5"/>
  <c r="C356" i="5"/>
  <c r="F356" i="5" s="1"/>
  <c r="A39" i="3"/>
  <c r="C38" i="3"/>
  <c r="D223" i="2"/>
  <c r="D19" i="2"/>
  <c r="C190" i="5" l="1"/>
  <c r="F189" i="5"/>
  <c r="G189" i="5" s="1"/>
  <c r="H216" i="5"/>
  <c r="H463" i="5"/>
  <c r="G463" i="5"/>
  <c r="A464" i="5"/>
  <c r="E465" i="5"/>
  <c r="B464" i="5"/>
  <c r="F464" i="5" s="1"/>
  <c r="G356" i="5"/>
  <c r="C357" i="5"/>
  <c r="F357" i="5" s="1"/>
  <c r="A40" i="3"/>
  <c r="C39" i="3"/>
  <c r="D224" i="2"/>
  <c r="D20" i="2"/>
  <c r="C191" i="5" l="1"/>
  <c r="F190" i="5"/>
  <c r="G190" i="5" s="1"/>
  <c r="H190" i="5"/>
  <c r="G464" i="5"/>
  <c r="H464" i="5"/>
  <c r="A465" i="5"/>
  <c r="B465" i="5"/>
  <c r="F465" i="5" s="1"/>
  <c r="E466" i="5"/>
  <c r="G357" i="5"/>
  <c r="C358" i="5"/>
  <c r="F358" i="5" s="1"/>
  <c r="C40" i="3"/>
  <c r="A41" i="3"/>
  <c r="D225" i="2"/>
  <c r="D21" i="2"/>
  <c r="C192" i="5" l="1"/>
  <c r="F191" i="5"/>
  <c r="G191" i="5" s="1"/>
  <c r="A466" i="5"/>
  <c r="E467" i="5"/>
  <c r="B466" i="5"/>
  <c r="F466" i="5" s="1"/>
  <c r="H465" i="5"/>
  <c r="G465" i="5"/>
  <c r="G358" i="5"/>
  <c r="H358" i="5"/>
  <c r="C359" i="5"/>
  <c r="F359" i="5" s="1"/>
  <c r="A42" i="3"/>
  <c r="C41" i="3"/>
  <c r="D226" i="2"/>
  <c r="D22" i="2"/>
  <c r="C193" i="5" l="1"/>
  <c r="F192" i="5"/>
  <c r="G192" i="5" s="1"/>
  <c r="G466" i="5"/>
  <c r="H466" i="5"/>
  <c r="A467" i="5"/>
  <c r="B467" i="5"/>
  <c r="F467" i="5" s="1"/>
  <c r="E468" i="5"/>
  <c r="G359" i="5"/>
  <c r="C360" i="5"/>
  <c r="F360" i="5" s="1"/>
  <c r="A43" i="3"/>
  <c r="C42" i="3"/>
  <c r="D227" i="2"/>
  <c r="D23" i="2"/>
  <c r="C194" i="5" l="1"/>
  <c r="F193" i="5"/>
  <c r="G193" i="5" s="1"/>
  <c r="H467" i="5"/>
  <c r="G467" i="5"/>
  <c r="A468" i="5"/>
  <c r="E469" i="5"/>
  <c r="B468" i="5"/>
  <c r="F468" i="5" s="1"/>
  <c r="G360" i="5"/>
  <c r="C361" i="5"/>
  <c r="F361" i="5" s="1"/>
  <c r="C43" i="3"/>
  <c r="A44" i="3"/>
  <c r="D228" i="2"/>
  <c r="D24" i="2"/>
  <c r="C195" i="5" l="1"/>
  <c r="F194" i="5"/>
  <c r="G194" i="5" s="1"/>
  <c r="H468" i="5"/>
  <c r="G468" i="5"/>
  <c r="A469" i="5"/>
  <c r="E470" i="5"/>
  <c r="B469" i="5"/>
  <c r="F469" i="5" s="1"/>
  <c r="G361" i="5"/>
  <c r="C362" i="5"/>
  <c r="F362" i="5" s="1"/>
  <c r="C44" i="3"/>
  <c r="A45" i="3"/>
  <c r="D229" i="2"/>
  <c r="D25" i="2"/>
  <c r="C196" i="5" l="1"/>
  <c r="F195" i="5"/>
  <c r="G195" i="5" s="1"/>
  <c r="H469" i="5"/>
  <c r="G469" i="5"/>
  <c r="A470" i="5"/>
  <c r="E471" i="5"/>
  <c r="B470" i="5"/>
  <c r="F470" i="5" s="1"/>
  <c r="G362" i="5"/>
  <c r="C363" i="5"/>
  <c r="F363" i="5" s="1"/>
  <c r="C45" i="3"/>
  <c r="A46" i="3"/>
  <c r="D230" i="2"/>
  <c r="D26" i="2"/>
  <c r="C197" i="5" l="1"/>
  <c r="F196" i="5"/>
  <c r="G196" i="5" s="1"/>
  <c r="H470" i="5"/>
  <c r="G470" i="5"/>
  <c r="A471" i="5"/>
  <c r="B471" i="5"/>
  <c r="F471" i="5" s="1"/>
  <c r="E472" i="5"/>
  <c r="G363" i="5"/>
  <c r="C364" i="5"/>
  <c r="F364" i="5" s="1"/>
  <c r="A47" i="3"/>
  <c r="C46" i="3"/>
  <c r="D231" i="2"/>
  <c r="D27" i="2"/>
  <c r="C198" i="5" l="1"/>
  <c r="H197" i="5"/>
  <c r="F197" i="5"/>
  <c r="G197" i="5" s="1"/>
  <c r="A472" i="5"/>
  <c r="B472" i="5"/>
  <c r="F472" i="5" s="1"/>
  <c r="E473" i="5"/>
  <c r="G471" i="5"/>
  <c r="H471" i="5"/>
  <c r="G364" i="5"/>
  <c r="C365" i="5"/>
  <c r="F365" i="5" s="1"/>
  <c r="A48" i="3"/>
  <c r="C47" i="3"/>
  <c r="D232" i="2"/>
  <c r="D28" i="2"/>
  <c r="C199" i="5" l="1"/>
  <c r="F198" i="5"/>
  <c r="G198" i="5" s="1"/>
  <c r="A473" i="5"/>
  <c r="B473" i="5"/>
  <c r="F473" i="5" s="1"/>
  <c r="E474" i="5"/>
  <c r="G472" i="5"/>
  <c r="H472" i="5"/>
  <c r="G365" i="5"/>
  <c r="H365" i="5"/>
  <c r="C366" i="5"/>
  <c r="F366" i="5" s="1"/>
  <c r="C371" i="5"/>
  <c r="F371" i="5" s="1"/>
  <c r="A49" i="3"/>
  <c r="C48" i="3"/>
  <c r="D233" i="2"/>
  <c r="D29" i="2"/>
  <c r="C200" i="5" l="1"/>
  <c r="F199" i="5"/>
  <c r="G199" i="5" s="1"/>
  <c r="A474" i="5"/>
  <c r="B474" i="5"/>
  <c r="F474" i="5" s="1"/>
  <c r="E475" i="5"/>
  <c r="H473" i="5"/>
  <c r="G473" i="5"/>
  <c r="G366" i="5"/>
  <c r="C367" i="5"/>
  <c r="F367" i="5" s="1"/>
  <c r="A50" i="3"/>
  <c r="C49" i="3"/>
  <c r="D234" i="2"/>
  <c r="D30" i="2"/>
  <c r="C201" i="5" l="1"/>
  <c r="F200" i="5"/>
  <c r="G200" i="5" s="1"/>
  <c r="A475" i="5"/>
  <c r="B475" i="5"/>
  <c r="F475" i="5" s="1"/>
  <c r="E476" i="5"/>
  <c r="H474" i="5"/>
  <c r="G474" i="5"/>
  <c r="G367" i="5"/>
  <c r="C368" i="5"/>
  <c r="F368" i="5" s="1"/>
  <c r="C373" i="5"/>
  <c r="F373" i="5" s="1"/>
  <c r="A51" i="3"/>
  <c r="C50" i="3"/>
  <c r="D235" i="2"/>
  <c r="D31" i="2"/>
  <c r="C202" i="5" l="1"/>
  <c r="F201" i="5"/>
  <c r="G201" i="5" s="1"/>
  <c r="A476" i="5"/>
  <c r="E477" i="5"/>
  <c r="B476" i="5"/>
  <c r="F476" i="5" s="1"/>
  <c r="G475" i="5"/>
  <c r="H475" i="5"/>
  <c r="G368" i="5"/>
  <c r="C369" i="5"/>
  <c r="F369" i="5" s="1"/>
  <c r="G369" i="5" s="1"/>
  <c r="C374" i="5"/>
  <c r="F374" i="5" s="1"/>
  <c r="C51" i="3"/>
  <c r="A52" i="3"/>
  <c r="D236" i="2"/>
  <c r="D32" i="2"/>
  <c r="C203" i="5" l="1"/>
  <c r="F202" i="5"/>
  <c r="G202" i="5" s="1"/>
  <c r="H476" i="5"/>
  <c r="G476" i="5"/>
  <c r="A477" i="5"/>
  <c r="B477" i="5"/>
  <c r="F477" i="5" s="1"/>
  <c r="E478" i="5"/>
  <c r="G370" i="5"/>
  <c r="C375" i="5"/>
  <c r="F375" i="5" s="1"/>
  <c r="C52" i="3"/>
  <c r="A53" i="3"/>
  <c r="D237" i="2"/>
  <c r="D33" i="2"/>
  <c r="C204" i="5" l="1"/>
  <c r="F203" i="5"/>
  <c r="G203" i="5" s="1"/>
  <c r="A478" i="5"/>
  <c r="E479" i="5"/>
  <c r="B478" i="5"/>
  <c r="F478" i="5" s="1"/>
  <c r="H477" i="5"/>
  <c r="G477" i="5"/>
  <c r="C376" i="5"/>
  <c r="F376" i="5" s="1"/>
  <c r="G371" i="5"/>
  <c r="C53" i="3"/>
  <c r="A54" i="3"/>
  <c r="D238" i="2"/>
  <c r="D34" i="2"/>
  <c r="C205" i="5" l="1"/>
  <c r="F204" i="5"/>
  <c r="G204" i="5" s="1"/>
  <c r="H204" i="5"/>
  <c r="G478" i="5"/>
  <c r="H478" i="5"/>
  <c r="A479" i="5"/>
  <c r="B479" i="5"/>
  <c r="F479" i="5" s="1"/>
  <c r="E480" i="5"/>
  <c r="G372" i="5"/>
  <c r="C377" i="5"/>
  <c r="F377" i="5" s="1"/>
  <c r="A55" i="3"/>
  <c r="C54" i="3"/>
  <c r="D239" i="2"/>
  <c r="D35" i="2"/>
  <c r="C206" i="5" l="1"/>
  <c r="F205" i="5"/>
  <c r="G205" i="5" s="1"/>
  <c r="A480" i="5"/>
  <c r="B480" i="5"/>
  <c r="F480" i="5" s="1"/>
  <c r="E481" i="5"/>
  <c r="G479" i="5"/>
  <c r="H479" i="5"/>
  <c r="C378" i="5"/>
  <c r="F378" i="5" s="1"/>
  <c r="G373" i="5"/>
  <c r="A56" i="3"/>
  <c r="C55" i="3"/>
  <c r="D240" i="2"/>
  <c r="D36" i="2"/>
  <c r="C207" i="5" l="1"/>
  <c r="F206" i="5"/>
  <c r="G206" i="5" s="1"/>
  <c r="A481" i="5"/>
  <c r="B481" i="5"/>
  <c r="F481" i="5" s="1"/>
  <c r="E482" i="5"/>
  <c r="G480" i="5"/>
  <c r="H480" i="5"/>
  <c r="C379" i="5"/>
  <c r="F379" i="5" s="1"/>
  <c r="G374" i="5"/>
  <c r="A57" i="3"/>
  <c r="C56" i="3"/>
  <c r="D241" i="2"/>
  <c r="D37" i="2"/>
  <c r="C208" i="5" l="1"/>
  <c r="F207" i="5"/>
  <c r="G207" i="5" s="1"/>
  <c r="A482" i="5"/>
  <c r="E483" i="5"/>
  <c r="B482" i="5"/>
  <c r="F482" i="5" s="1"/>
  <c r="G481" i="5"/>
  <c r="H481" i="5"/>
  <c r="C380" i="5"/>
  <c r="F380" i="5" s="1"/>
  <c r="G375" i="5"/>
  <c r="A58" i="3"/>
  <c r="C57" i="3"/>
  <c r="D242" i="2"/>
  <c r="D38" i="2"/>
  <c r="C209" i="5" l="1"/>
  <c r="F208" i="5"/>
  <c r="G208" i="5" s="1"/>
  <c r="H482" i="5"/>
  <c r="G482" i="5"/>
  <c r="A483" i="5"/>
  <c r="B483" i="5"/>
  <c r="F483" i="5" s="1"/>
  <c r="E484" i="5"/>
  <c r="G376" i="5"/>
  <c r="C381" i="5"/>
  <c r="F381" i="5" s="1"/>
  <c r="C58" i="3"/>
  <c r="D243" i="2"/>
  <c r="D39" i="2"/>
  <c r="C210" i="5" l="1"/>
  <c r="F209" i="5"/>
  <c r="G209" i="5" s="1"/>
  <c r="H483" i="5"/>
  <c r="G483" i="5"/>
  <c r="A484" i="5"/>
  <c r="E485" i="5"/>
  <c r="B484" i="5"/>
  <c r="F484" i="5" s="1"/>
  <c r="C382" i="5"/>
  <c r="F382" i="5" s="1"/>
  <c r="G377" i="5"/>
  <c r="D244" i="2"/>
  <c r="D40" i="2"/>
  <c r="C211" i="5" l="1"/>
  <c r="F210" i="5"/>
  <c r="G210" i="5" s="1"/>
  <c r="G484" i="5"/>
  <c r="H484" i="5"/>
  <c r="A485" i="5"/>
  <c r="B485" i="5"/>
  <c r="F485" i="5" s="1"/>
  <c r="E486" i="5"/>
  <c r="G378" i="5"/>
  <c r="C383" i="5"/>
  <c r="F383" i="5" s="1"/>
  <c r="D245" i="2"/>
  <c r="D41" i="2"/>
  <c r="C212" i="5" l="1"/>
  <c r="F211" i="5"/>
  <c r="G211" i="5" s="1"/>
  <c r="H211" i="5"/>
  <c r="A486" i="5"/>
  <c r="E487" i="5"/>
  <c r="B486" i="5"/>
  <c r="F486" i="5" s="1"/>
  <c r="G485" i="5"/>
  <c r="H485" i="5"/>
  <c r="C384" i="5"/>
  <c r="F384" i="5" s="1"/>
  <c r="G379" i="5"/>
  <c r="D246" i="2"/>
  <c r="D42" i="2"/>
  <c r="C213" i="5" l="1"/>
  <c r="F212" i="5"/>
  <c r="G212" i="5" s="1"/>
  <c r="H486" i="5"/>
  <c r="G486" i="5"/>
  <c r="A487" i="5"/>
  <c r="E488" i="5"/>
  <c r="B487" i="5"/>
  <c r="F487" i="5" s="1"/>
  <c r="C385" i="5"/>
  <c r="F385" i="5" s="1"/>
  <c r="G380" i="5"/>
  <c r="D247" i="2"/>
  <c r="D43" i="2"/>
  <c r="C214" i="5" l="1"/>
  <c r="F213" i="5"/>
  <c r="G213" i="5" s="1"/>
  <c r="G487" i="5"/>
  <c r="H487" i="5"/>
  <c r="A488" i="5"/>
  <c r="E489" i="5"/>
  <c r="B488" i="5"/>
  <c r="F488" i="5" s="1"/>
  <c r="G381" i="5"/>
  <c r="D248" i="2"/>
  <c r="D44" i="2"/>
  <c r="C215" i="5" l="1"/>
  <c r="F214" i="5"/>
  <c r="G214" i="5" s="1"/>
  <c r="H488" i="5"/>
  <c r="G488" i="5"/>
  <c r="A489" i="5"/>
  <c r="B489" i="5"/>
  <c r="F489" i="5" s="1"/>
  <c r="E490" i="5"/>
  <c r="G382" i="5"/>
  <c r="D249" i="2"/>
  <c r="D45" i="2"/>
  <c r="C216" i="5" l="1"/>
  <c r="F215" i="5"/>
  <c r="G215" i="5" s="1"/>
  <c r="A490" i="5"/>
  <c r="B490" i="5"/>
  <c r="F490" i="5" s="1"/>
  <c r="E491" i="5"/>
  <c r="G489" i="5"/>
  <c r="H489" i="5"/>
  <c r="G383" i="5"/>
  <c r="D250" i="2"/>
  <c r="D46" i="2"/>
  <c r="C217" i="5" l="1"/>
  <c r="F216" i="5"/>
  <c r="G216" i="5" s="1"/>
  <c r="A491" i="5"/>
  <c r="E492" i="5"/>
  <c r="B491" i="5"/>
  <c r="F491" i="5" s="1"/>
  <c r="H490" i="5"/>
  <c r="G490" i="5"/>
  <c r="G384" i="5"/>
  <c r="D251" i="2"/>
  <c r="D47" i="2"/>
  <c r="C218" i="5" l="1"/>
  <c r="F217" i="5"/>
  <c r="G217" i="5" s="1"/>
  <c r="G491" i="5"/>
  <c r="H491" i="5"/>
  <c r="A492" i="5"/>
  <c r="E493" i="5"/>
  <c r="B492" i="5"/>
  <c r="F492" i="5" s="1"/>
  <c r="G385" i="5"/>
  <c r="D252" i="2"/>
  <c r="D48" i="2"/>
  <c r="C219" i="5" l="1"/>
  <c r="F218" i="5"/>
  <c r="G218" i="5" s="1"/>
  <c r="H218" i="5"/>
  <c r="G492" i="5"/>
  <c r="H492" i="5"/>
  <c r="A493" i="5"/>
  <c r="E494" i="5"/>
  <c r="B493" i="5"/>
  <c r="F493" i="5" s="1"/>
  <c r="G387" i="5"/>
  <c r="G386" i="5"/>
  <c r="D253" i="2"/>
  <c r="D49" i="2"/>
  <c r="C220" i="5" l="1"/>
  <c r="F219" i="5"/>
  <c r="G219" i="5" s="1"/>
  <c r="A494" i="5"/>
  <c r="B494" i="5"/>
  <c r="F494" i="5" s="1"/>
  <c r="E495" i="5"/>
  <c r="H493" i="5"/>
  <c r="G493" i="5"/>
  <c r="D254" i="2"/>
  <c r="D50" i="2"/>
  <c r="C221" i="5" l="1"/>
  <c r="F220" i="5"/>
  <c r="G220" i="5" s="1"/>
  <c r="A495" i="5"/>
  <c r="E496" i="5"/>
  <c r="B495" i="5"/>
  <c r="F495" i="5" s="1"/>
  <c r="G494" i="5"/>
  <c r="H494" i="5"/>
  <c r="D255" i="2"/>
  <c r="D51" i="2"/>
  <c r="C222" i="5" l="1"/>
  <c r="F221" i="5"/>
  <c r="G221" i="5" s="1"/>
  <c r="A496" i="5"/>
  <c r="E497" i="5"/>
  <c r="B496" i="5"/>
  <c r="F496" i="5" s="1"/>
  <c r="H495" i="5"/>
  <c r="G495" i="5"/>
  <c r="D256" i="2"/>
  <c r="D52" i="2"/>
  <c r="C223" i="5" l="1"/>
  <c r="F222" i="5"/>
  <c r="G222" i="5" s="1"/>
  <c r="H496" i="5"/>
  <c r="G496" i="5"/>
  <c r="A497" i="5"/>
  <c r="E498" i="5"/>
  <c r="B497" i="5"/>
  <c r="F497" i="5" s="1"/>
  <c r="D257" i="2"/>
  <c r="D53" i="2"/>
  <c r="C224" i="5" l="1"/>
  <c r="F223" i="5"/>
  <c r="G223" i="5" s="1"/>
  <c r="G497" i="5"/>
  <c r="H497" i="5"/>
  <c r="A498" i="5"/>
  <c r="B498" i="5"/>
  <c r="F498" i="5" s="1"/>
  <c r="E499" i="5"/>
  <c r="D258" i="2"/>
  <c r="D54" i="2"/>
  <c r="C225" i="5" l="1"/>
  <c r="F224" i="5"/>
  <c r="G224" i="5" s="1"/>
  <c r="A499" i="5"/>
  <c r="B499" i="5"/>
  <c r="F499" i="5" s="1"/>
  <c r="E500" i="5"/>
  <c r="G498" i="5"/>
  <c r="H498" i="5"/>
  <c r="D259" i="2"/>
  <c r="D55" i="2"/>
  <c r="C226" i="5" l="1"/>
  <c r="F225" i="5"/>
  <c r="G225" i="5" s="1"/>
  <c r="A500" i="5"/>
  <c r="E501" i="5"/>
  <c r="B500" i="5"/>
  <c r="F500" i="5" s="1"/>
  <c r="H499" i="5"/>
  <c r="G499" i="5"/>
  <c r="D260" i="2"/>
  <c r="D56" i="2"/>
  <c r="F226" i="5" l="1"/>
  <c r="G226" i="5" s="1"/>
  <c r="C227" i="5"/>
  <c r="A501" i="5"/>
  <c r="E502" i="5"/>
  <c r="B501" i="5"/>
  <c r="F501" i="5" s="1"/>
  <c r="H500" i="5"/>
  <c r="G500" i="5"/>
  <c r="D261" i="2"/>
  <c r="D57" i="2"/>
  <c r="F227" i="5" l="1"/>
  <c r="G227" i="5" s="1"/>
  <c r="C228" i="5"/>
  <c r="H501" i="5"/>
  <c r="G501" i="5"/>
  <c r="A502" i="5"/>
  <c r="E503" i="5"/>
  <c r="B502" i="5"/>
  <c r="F502" i="5" s="1"/>
  <c r="D262" i="2"/>
  <c r="D58" i="2"/>
  <c r="F228" i="5" l="1"/>
  <c r="G228" i="5" s="1"/>
  <c r="C229" i="5"/>
  <c r="A503" i="5"/>
  <c r="B503" i="5"/>
  <c r="F503" i="5" s="1"/>
  <c r="E504" i="5"/>
  <c r="H502" i="5"/>
  <c r="G502" i="5"/>
  <c r="D263" i="2"/>
  <c r="D59" i="2"/>
  <c r="C230" i="5" l="1"/>
  <c r="F229" i="5"/>
  <c r="G229" i="5" s="1"/>
  <c r="A504" i="5"/>
  <c r="B504" i="5"/>
  <c r="F504" i="5" s="1"/>
  <c r="E505" i="5"/>
  <c r="H503" i="5"/>
  <c r="G503" i="5"/>
  <c r="D264" i="2"/>
  <c r="D60" i="2"/>
  <c r="C231" i="5" l="1"/>
  <c r="F230" i="5"/>
  <c r="G230" i="5" s="1"/>
  <c r="G504" i="5"/>
  <c r="H504" i="5"/>
  <c r="A505" i="5"/>
  <c r="B505" i="5"/>
  <c r="F505" i="5" s="1"/>
  <c r="E506" i="5"/>
  <c r="D265" i="2"/>
  <c r="D61" i="2"/>
  <c r="C232" i="5" l="1"/>
  <c r="F231" i="5"/>
  <c r="G231" i="5" s="1"/>
  <c r="G505" i="5"/>
  <c r="H505" i="5"/>
  <c r="A506" i="5"/>
  <c r="B506" i="5"/>
  <c r="F506" i="5" s="1"/>
  <c r="E507" i="5"/>
  <c r="D266" i="2"/>
  <c r="D62" i="2"/>
  <c r="C233" i="5" l="1"/>
  <c r="F232" i="5"/>
  <c r="G232" i="5" s="1"/>
  <c r="A507" i="5"/>
  <c r="E508" i="5"/>
  <c r="B507" i="5"/>
  <c r="F507" i="5" s="1"/>
  <c r="H506" i="5"/>
  <c r="G506" i="5"/>
  <c r="D267" i="2"/>
  <c r="D63" i="2"/>
  <c r="C234" i="5" l="1"/>
  <c r="F233" i="5"/>
  <c r="G233" i="5" s="1"/>
  <c r="H507" i="5"/>
  <c r="G507" i="5"/>
  <c r="A508" i="5"/>
  <c r="E509" i="5"/>
  <c r="B508" i="5"/>
  <c r="F508" i="5" s="1"/>
  <c r="D268" i="2"/>
  <c r="D64" i="2"/>
  <c r="C235" i="5" l="1"/>
  <c r="F234" i="5"/>
  <c r="G234" i="5" s="1"/>
  <c r="G508" i="5"/>
  <c r="H508" i="5"/>
  <c r="A509" i="5"/>
  <c r="E510" i="5"/>
  <c r="B509" i="5"/>
  <c r="F509" i="5" s="1"/>
  <c r="D269" i="2"/>
  <c r="D65" i="2"/>
  <c r="C236" i="5" l="1"/>
  <c r="F235" i="5"/>
  <c r="G235" i="5" s="1"/>
  <c r="H509" i="5"/>
  <c r="G509" i="5"/>
  <c r="A510" i="5"/>
  <c r="E511" i="5"/>
  <c r="B510" i="5"/>
  <c r="F510" i="5" s="1"/>
  <c r="D270" i="2"/>
  <c r="D66" i="2"/>
  <c r="C237" i="5" l="1"/>
  <c r="F236" i="5"/>
  <c r="G236" i="5" s="1"/>
  <c r="H510" i="5"/>
  <c r="G510" i="5"/>
  <c r="A511" i="5"/>
  <c r="B511" i="5"/>
  <c r="F511" i="5" s="1"/>
  <c r="E512" i="5"/>
  <c r="D271" i="2"/>
  <c r="D67" i="2"/>
  <c r="C238" i="5" l="1"/>
  <c r="F237" i="5"/>
  <c r="G237" i="5" s="1"/>
  <c r="B5" i="5"/>
  <c r="F5" i="5" s="1"/>
  <c r="A5" i="5"/>
  <c r="A512" i="5"/>
  <c r="E513" i="5"/>
  <c r="B512" i="5"/>
  <c r="F512" i="5" s="1"/>
  <c r="H511" i="5"/>
  <c r="G511" i="5"/>
  <c r="D272" i="2"/>
  <c r="D68" i="2"/>
  <c r="C239" i="5" l="1"/>
  <c r="F238" i="5"/>
  <c r="G238" i="5" s="1"/>
  <c r="G5" i="5"/>
  <c r="A6" i="5"/>
  <c r="B6" i="5"/>
  <c r="F6" i="5" s="1"/>
  <c r="G512" i="5"/>
  <c r="H512" i="5"/>
  <c r="A513" i="5"/>
  <c r="E514" i="5"/>
  <c r="B513" i="5"/>
  <c r="F513" i="5" s="1"/>
  <c r="D273" i="2"/>
  <c r="D69" i="2"/>
  <c r="C240" i="5" l="1"/>
  <c r="F239" i="5"/>
  <c r="G239" i="5" s="1"/>
  <c r="B7" i="5"/>
  <c r="F7" i="5" s="1"/>
  <c r="A7" i="5"/>
  <c r="G6" i="5"/>
  <c r="H513" i="5"/>
  <c r="G513" i="5"/>
  <c r="A514" i="5"/>
  <c r="E515" i="5"/>
  <c r="B514" i="5"/>
  <c r="F514" i="5" s="1"/>
  <c r="D274" i="2"/>
  <c r="D70" i="2"/>
  <c r="C241" i="5" l="1"/>
  <c r="F240" i="5"/>
  <c r="G240" i="5" s="1"/>
  <c r="A8" i="5"/>
  <c r="B8" i="5"/>
  <c r="F8" i="5" s="1"/>
  <c r="G7" i="5"/>
  <c r="A515" i="5"/>
  <c r="E516" i="5"/>
  <c r="B515" i="5"/>
  <c r="F515" i="5" s="1"/>
  <c r="G514" i="5"/>
  <c r="H514" i="5"/>
  <c r="D275" i="2"/>
  <c r="D71" i="2"/>
  <c r="C242" i="5" l="1"/>
  <c r="F241" i="5"/>
  <c r="G241" i="5" s="1"/>
  <c r="A9" i="5"/>
  <c r="B9" i="5"/>
  <c r="F9" i="5" s="1"/>
  <c r="G8" i="5"/>
  <c r="G515" i="5"/>
  <c r="H515" i="5"/>
  <c r="A516" i="5"/>
  <c r="B516" i="5"/>
  <c r="F516" i="5" s="1"/>
  <c r="E517" i="5"/>
  <c r="D276" i="2"/>
  <c r="D72" i="2"/>
  <c r="C243" i="5" l="1"/>
  <c r="F242" i="5"/>
  <c r="G242" i="5" s="1"/>
  <c r="G9" i="5"/>
  <c r="A10" i="5"/>
  <c r="B10" i="5"/>
  <c r="F10" i="5" s="1"/>
  <c r="A517" i="5"/>
  <c r="E518" i="5"/>
  <c r="B517" i="5"/>
  <c r="F517" i="5" s="1"/>
  <c r="H516" i="5"/>
  <c r="G516" i="5"/>
  <c r="D277" i="2"/>
  <c r="D73" i="2"/>
  <c r="C244" i="5" l="1"/>
  <c r="F243" i="5"/>
  <c r="G243" i="5" s="1"/>
  <c r="G10" i="5"/>
  <c r="B11" i="5"/>
  <c r="F11" i="5" s="1"/>
  <c r="A11" i="5"/>
  <c r="H517" i="5"/>
  <c r="G517" i="5"/>
  <c r="A518" i="5"/>
  <c r="B518" i="5"/>
  <c r="F518" i="5" s="1"/>
  <c r="E519" i="5"/>
  <c r="D278" i="2"/>
  <c r="D74" i="2"/>
  <c r="C245" i="5" l="1"/>
  <c r="F244" i="5"/>
  <c r="G244" i="5" s="1"/>
  <c r="A12" i="5"/>
  <c r="B12" i="5"/>
  <c r="F12" i="5" s="1"/>
  <c r="G11" i="5"/>
  <c r="A519" i="5"/>
  <c r="E520" i="5"/>
  <c r="B519" i="5"/>
  <c r="F519" i="5" s="1"/>
  <c r="H518" i="5"/>
  <c r="G518" i="5"/>
  <c r="D279" i="2"/>
  <c r="D75" i="2"/>
  <c r="C246" i="5" l="1"/>
  <c r="F245" i="5"/>
  <c r="G245" i="5" s="1"/>
  <c r="G12" i="5"/>
  <c r="B13" i="5"/>
  <c r="F13" i="5" s="1"/>
  <c r="A13" i="5"/>
  <c r="H519" i="5"/>
  <c r="G519" i="5"/>
  <c r="A520" i="5"/>
  <c r="E521" i="5"/>
  <c r="B520" i="5"/>
  <c r="F520" i="5" s="1"/>
  <c r="D280" i="2"/>
  <c r="D76" i="2"/>
  <c r="C247" i="5" l="1"/>
  <c r="F246" i="5"/>
  <c r="G246" i="5" s="1"/>
  <c r="G13" i="5"/>
  <c r="A14" i="5"/>
  <c r="B14" i="5"/>
  <c r="F14" i="5" s="1"/>
  <c r="H520" i="5"/>
  <c r="G520" i="5"/>
  <c r="A521" i="5"/>
  <c r="E522" i="5"/>
  <c r="B521" i="5"/>
  <c r="F521" i="5" s="1"/>
  <c r="D281" i="2"/>
  <c r="D77" i="2"/>
  <c r="C248" i="5" l="1"/>
  <c r="F247" i="5"/>
  <c r="G247" i="5" s="1"/>
  <c r="G14" i="5"/>
  <c r="B15" i="5"/>
  <c r="F15" i="5" s="1"/>
  <c r="A15" i="5"/>
  <c r="G521" i="5"/>
  <c r="H521" i="5"/>
  <c r="A522" i="5"/>
  <c r="B522" i="5"/>
  <c r="F522" i="5" s="1"/>
  <c r="E523" i="5"/>
  <c r="D282" i="2"/>
  <c r="D78" i="2"/>
  <c r="C249" i="5" l="1"/>
  <c r="F248" i="5"/>
  <c r="G248" i="5" s="1"/>
  <c r="A16" i="5"/>
  <c r="B16" i="5"/>
  <c r="F16" i="5" s="1"/>
  <c r="G15" i="5"/>
  <c r="A523" i="5"/>
  <c r="E524" i="5"/>
  <c r="B523" i="5"/>
  <c r="F523" i="5" s="1"/>
  <c r="G522" i="5"/>
  <c r="H522" i="5"/>
  <c r="D283" i="2"/>
  <c r="D79" i="2"/>
  <c r="C250" i="5" l="1"/>
  <c r="F249" i="5"/>
  <c r="G249" i="5" s="1"/>
  <c r="A17" i="5"/>
  <c r="B17" i="5"/>
  <c r="F17" i="5" s="1"/>
  <c r="G16" i="5"/>
  <c r="G523" i="5"/>
  <c r="H523" i="5"/>
  <c r="A524" i="5"/>
  <c r="E525" i="5"/>
  <c r="B524" i="5"/>
  <c r="F524" i="5" s="1"/>
  <c r="D284" i="2"/>
  <c r="D80" i="2"/>
  <c r="C251" i="5" l="1"/>
  <c r="F250" i="5"/>
  <c r="G250" i="5" s="1"/>
  <c r="G17" i="5"/>
  <c r="A18" i="5"/>
  <c r="B18" i="5"/>
  <c r="F18" i="5" s="1"/>
  <c r="G524" i="5"/>
  <c r="H524" i="5"/>
  <c r="A525" i="5"/>
  <c r="B525" i="5"/>
  <c r="F525" i="5" s="1"/>
  <c r="E526" i="5"/>
  <c r="D285" i="2"/>
  <c r="D81" i="2"/>
  <c r="C252" i="5" l="1"/>
  <c r="F251" i="5"/>
  <c r="G251" i="5" s="1"/>
  <c r="B19" i="5"/>
  <c r="F19" i="5" s="1"/>
  <c r="A19" i="5"/>
  <c r="G18" i="5"/>
  <c r="A526" i="5"/>
  <c r="E527" i="5"/>
  <c r="B526" i="5"/>
  <c r="F526" i="5" s="1"/>
  <c r="G525" i="5"/>
  <c r="H525" i="5"/>
  <c r="D286" i="2"/>
  <c r="D82" i="2"/>
  <c r="C253" i="5" l="1"/>
  <c r="F252" i="5"/>
  <c r="G252" i="5" s="1"/>
  <c r="A20" i="5"/>
  <c r="B20" i="5"/>
  <c r="F20" i="5" s="1"/>
  <c r="G19" i="5"/>
  <c r="G526" i="5"/>
  <c r="H526" i="5"/>
  <c r="A527" i="5"/>
  <c r="E528" i="5"/>
  <c r="B527" i="5"/>
  <c r="F527" i="5" s="1"/>
  <c r="D287" i="2"/>
  <c r="D83" i="2"/>
  <c r="C254" i="5" l="1"/>
  <c r="F253" i="5"/>
  <c r="G253" i="5" s="1"/>
  <c r="G20" i="5"/>
  <c r="B21" i="5"/>
  <c r="F21" i="5" s="1"/>
  <c r="A21" i="5"/>
  <c r="H527" i="5"/>
  <c r="G527" i="5"/>
  <c r="A528" i="5"/>
  <c r="B528" i="5"/>
  <c r="F528" i="5" s="1"/>
  <c r="E529" i="5"/>
  <c r="D288" i="2"/>
  <c r="D84" i="2"/>
  <c r="C255" i="5" l="1"/>
  <c r="F254" i="5"/>
  <c r="G254" i="5" s="1"/>
  <c r="G21" i="5"/>
  <c r="A22" i="5"/>
  <c r="B22" i="5"/>
  <c r="F22" i="5" s="1"/>
  <c r="A529" i="5"/>
  <c r="B529" i="5"/>
  <c r="F529" i="5" s="1"/>
  <c r="E530" i="5"/>
  <c r="G528" i="5"/>
  <c r="H528" i="5"/>
  <c r="D289" i="2"/>
  <c r="D85" i="2"/>
  <c r="C256" i="5" l="1"/>
  <c r="F255" i="5"/>
  <c r="G255" i="5" s="1"/>
  <c r="G22" i="5"/>
  <c r="B23" i="5"/>
  <c r="F23" i="5" s="1"/>
  <c r="A23" i="5"/>
  <c r="H529" i="5"/>
  <c r="G529" i="5"/>
  <c r="A530" i="5"/>
  <c r="E531" i="5"/>
  <c r="B530" i="5"/>
  <c r="F530" i="5" s="1"/>
  <c r="D290" i="2"/>
  <c r="D86" i="2"/>
  <c r="C257" i="5" l="1"/>
  <c r="F256" i="5"/>
  <c r="G256" i="5" s="1"/>
  <c r="A24" i="5"/>
  <c r="B24" i="5"/>
  <c r="F24" i="5" s="1"/>
  <c r="G23" i="5"/>
  <c r="H23" i="5"/>
  <c r="H530" i="5"/>
  <c r="G530" i="5"/>
  <c r="A531" i="5"/>
  <c r="E532" i="5"/>
  <c r="B531" i="5"/>
  <c r="F531" i="5" s="1"/>
  <c r="D291" i="2"/>
  <c r="D87" i="2"/>
  <c r="C258" i="5" l="1"/>
  <c r="F257" i="5"/>
  <c r="G257" i="5" s="1"/>
  <c r="A25" i="5"/>
  <c r="B25" i="5"/>
  <c r="F25" i="5" s="1"/>
  <c r="G24" i="5"/>
  <c r="H24" i="5"/>
  <c r="H531" i="5"/>
  <c r="G531" i="5"/>
  <c r="A532" i="5"/>
  <c r="B532" i="5"/>
  <c r="F532" i="5" s="1"/>
  <c r="E533" i="5"/>
  <c r="D292" i="2"/>
  <c r="D88" i="2"/>
  <c r="C259" i="5" l="1"/>
  <c r="F258" i="5"/>
  <c r="G258" i="5" s="1"/>
  <c r="G25" i="5"/>
  <c r="H25" i="5"/>
  <c r="A26" i="5"/>
  <c r="B26" i="5"/>
  <c r="F26" i="5" s="1"/>
  <c r="A533" i="5"/>
  <c r="B533" i="5"/>
  <c r="F533" i="5" s="1"/>
  <c r="E534" i="5"/>
  <c r="G532" i="5"/>
  <c r="H532" i="5"/>
  <c r="D293" i="2"/>
  <c r="D89" i="2"/>
  <c r="C260" i="5" l="1"/>
  <c r="F259" i="5"/>
  <c r="G259" i="5" s="1"/>
  <c r="B27" i="5"/>
  <c r="F27" i="5" s="1"/>
  <c r="A27" i="5"/>
  <c r="H26" i="5"/>
  <c r="G26" i="5"/>
  <c r="A534" i="5"/>
  <c r="B534" i="5"/>
  <c r="F534" i="5" s="1"/>
  <c r="E535" i="5"/>
  <c r="G533" i="5"/>
  <c r="H533" i="5"/>
  <c r="D295" i="2"/>
  <c r="D294" i="2"/>
  <c r="D90" i="2"/>
  <c r="C261" i="5" l="1"/>
  <c r="F260" i="5"/>
  <c r="G260" i="5" s="1"/>
  <c r="A28" i="5"/>
  <c r="B28" i="5"/>
  <c r="F28" i="5" s="1"/>
  <c r="G27" i="5"/>
  <c r="H27" i="5"/>
  <c r="A535" i="5"/>
  <c r="E536" i="5"/>
  <c r="B535" i="5"/>
  <c r="F535" i="5" s="1"/>
  <c r="G534" i="5"/>
  <c r="H534" i="5"/>
  <c r="D91" i="2"/>
  <c r="C262" i="5" l="1"/>
  <c r="F261" i="5"/>
  <c r="G261" i="5" s="1"/>
  <c r="B29" i="5"/>
  <c r="F29" i="5" s="1"/>
  <c r="A29" i="5"/>
  <c r="G28" i="5"/>
  <c r="H28" i="5"/>
  <c r="A536" i="5"/>
  <c r="E537" i="5"/>
  <c r="B536" i="5"/>
  <c r="F536" i="5" s="1"/>
  <c r="H535" i="5"/>
  <c r="G535" i="5"/>
  <c r="D92" i="2"/>
  <c r="C263" i="5" l="1"/>
  <c r="F262" i="5"/>
  <c r="G262" i="5" s="1"/>
  <c r="G29" i="5"/>
  <c r="H29" i="5"/>
  <c r="A30" i="5"/>
  <c r="B30" i="5"/>
  <c r="F30" i="5" s="1"/>
  <c r="A537" i="5"/>
  <c r="E538" i="5"/>
  <c r="B537" i="5"/>
  <c r="F537" i="5" s="1"/>
  <c r="G536" i="5"/>
  <c r="H536" i="5"/>
  <c r="D93" i="2"/>
  <c r="C264" i="5" l="1"/>
  <c r="F263" i="5"/>
  <c r="G263" i="5" s="1"/>
  <c r="B31" i="5"/>
  <c r="F31" i="5" s="1"/>
  <c r="A31" i="5"/>
  <c r="G30" i="5"/>
  <c r="H30" i="5"/>
  <c r="A538" i="5"/>
  <c r="E539" i="5"/>
  <c r="B538" i="5"/>
  <c r="F538" i="5" s="1"/>
  <c r="G537" i="5"/>
  <c r="H537" i="5"/>
  <c r="D94" i="2"/>
  <c r="C265" i="5" l="1"/>
  <c r="F264" i="5"/>
  <c r="G264" i="5" s="1"/>
  <c r="A32" i="5"/>
  <c r="B32" i="5"/>
  <c r="F32" i="5" s="1"/>
  <c r="G31" i="5"/>
  <c r="H31" i="5"/>
  <c r="G538" i="5"/>
  <c r="H538" i="5"/>
  <c r="A539" i="5"/>
  <c r="E540" i="5"/>
  <c r="B539" i="5"/>
  <c r="F539" i="5" s="1"/>
  <c r="D95" i="2"/>
  <c r="C266" i="5" l="1"/>
  <c r="F265" i="5"/>
  <c r="G265" i="5" s="1"/>
  <c r="G32" i="5"/>
  <c r="H32" i="5"/>
  <c r="A33" i="5"/>
  <c r="B33" i="5"/>
  <c r="F33" i="5" s="1"/>
  <c r="G539" i="5"/>
  <c r="H539" i="5"/>
  <c r="A540" i="5"/>
  <c r="B540" i="5"/>
  <c r="F540" i="5" s="1"/>
  <c r="E541" i="5"/>
  <c r="D96" i="2"/>
  <c r="C267" i="5" l="1"/>
  <c r="F266" i="5"/>
  <c r="G266" i="5" s="1"/>
  <c r="A34" i="5"/>
  <c r="B34" i="5"/>
  <c r="F34" i="5" s="1"/>
  <c r="G33" i="5"/>
  <c r="H33" i="5"/>
  <c r="A541" i="5"/>
  <c r="E542" i="5"/>
  <c r="B541" i="5"/>
  <c r="F541" i="5" s="1"/>
  <c r="H540" i="5"/>
  <c r="G540" i="5"/>
  <c r="D97" i="2"/>
  <c r="C268" i="5" l="1"/>
  <c r="F267" i="5"/>
  <c r="G267" i="5" s="1"/>
  <c r="B35" i="5"/>
  <c r="F35" i="5" s="1"/>
  <c r="A35" i="5"/>
  <c r="G34" i="5"/>
  <c r="H34" i="5"/>
  <c r="A542" i="5"/>
  <c r="E543" i="5"/>
  <c r="B542" i="5"/>
  <c r="F542" i="5" s="1"/>
  <c r="G541" i="5"/>
  <c r="H541" i="5"/>
  <c r="D98" i="2"/>
  <c r="C269" i="5" l="1"/>
  <c r="F268" i="5"/>
  <c r="G268" i="5" s="1"/>
  <c r="A36" i="5"/>
  <c r="B36" i="5"/>
  <c r="F36" i="5" s="1"/>
  <c r="G35" i="5"/>
  <c r="H35" i="5"/>
  <c r="H542" i="5"/>
  <c r="G542" i="5"/>
  <c r="A543" i="5"/>
  <c r="E544" i="5"/>
  <c r="B543" i="5"/>
  <c r="F543" i="5" s="1"/>
  <c r="D99" i="2"/>
  <c r="C270" i="5" l="1"/>
  <c r="F269" i="5"/>
  <c r="G269" i="5" s="1"/>
  <c r="G36" i="5"/>
  <c r="H36" i="5"/>
  <c r="B37" i="5"/>
  <c r="F37" i="5" s="1"/>
  <c r="A37" i="5"/>
  <c r="A544" i="5"/>
  <c r="E545" i="5"/>
  <c r="B544" i="5"/>
  <c r="F544" i="5" s="1"/>
  <c r="G543" i="5"/>
  <c r="H543" i="5"/>
  <c r="D100" i="2"/>
  <c r="C271" i="5" l="1"/>
  <c r="F270" i="5"/>
  <c r="G270" i="5" s="1"/>
  <c r="A38" i="5"/>
  <c r="B38" i="5"/>
  <c r="F38" i="5" s="1"/>
  <c r="G37" i="5"/>
  <c r="H37" i="5"/>
  <c r="H544" i="5"/>
  <c r="G544" i="5"/>
  <c r="A545" i="5"/>
  <c r="E546" i="5"/>
  <c r="B545" i="5"/>
  <c r="F545" i="5" s="1"/>
  <c r="D101" i="2"/>
  <c r="C272" i="5" l="1"/>
  <c r="F271" i="5"/>
  <c r="G271" i="5" s="1"/>
  <c r="B39" i="5"/>
  <c r="F39" i="5" s="1"/>
  <c r="A39" i="5"/>
  <c r="G38" i="5"/>
  <c r="H38" i="5"/>
  <c r="H545" i="5"/>
  <c r="G545" i="5"/>
  <c r="A546" i="5"/>
  <c r="E547" i="5"/>
  <c r="B546" i="5"/>
  <c r="F546" i="5" s="1"/>
  <c r="D102" i="2"/>
  <c r="C273" i="5" l="1"/>
  <c r="F272" i="5"/>
  <c r="G272" i="5" s="1"/>
  <c r="A40" i="5"/>
  <c r="B40" i="5"/>
  <c r="F40" i="5" s="1"/>
  <c r="G39" i="5"/>
  <c r="H39" i="5"/>
  <c r="H546" i="5"/>
  <c r="G546" i="5"/>
  <c r="A547" i="5"/>
  <c r="E548" i="5"/>
  <c r="B547" i="5"/>
  <c r="F547" i="5" s="1"/>
  <c r="D103" i="2"/>
  <c r="C274" i="5" l="1"/>
  <c r="F273" i="5"/>
  <c r="G273" i="5" s="1"/>
  <c r="G40" i="5"/>
  <c r="H40" i="5"/>
  <c r="A41" i="5"/>
  <c r="B41" i="5"/>
  <c r="F41" i="5" s="1"/>
  <c r="H547" i="5"/>
  <c r="G547" i="5"/>
  <c r="A548" i="5"/>
  <c r="E549" i="5"/>
  <c r="B548" i="5"/>
  <c r="F548" i="5" s="1"/>
  <c r="D104" i="2"/>
  <c r="C275" i="5" l="1"/>
  <c r="F274" i="5"/>
  <c r="G274" i="5" s="1"/>
  <c r="G41" i="5"/>
  <c r="H41" i="5"/>
  <c r="A42" i="5"/>
  <c r="B42" i="5"/>
  <c r="F42" i="5" s="1"/>
  <c r="H548" i="5"/>
  <c r="G548" i="5"/>
  <c r="A549" i="5"/>
  <c r="B549" i="5"/>
  <c r="F549" i="5" s="1"/>
  <c r="E550" i="5"/>
  <c r="D105" i="2"/>
  <c r="C276" i="5" l="1"/>
  <c r="F275" i="5"/>
  <c r="G275" i="5" s="1"/>
  <c r="H42" i="5"/>
  <c r="G42" i="5"/>
  <c r="B43" i="5"/>
  <c r="F43" i="5" s="1"/>
  <c r="A43" i="5"/>
  <c r="A550" i="5"/>
  <c r="B550" i="5"/>
  <c r="F550" i="5" s="1"/>
  <c r="E551" i="5"/>
  <c r="G549" i="5"/>
  <c r="H549" i="5"/>
  <c r="D106" i="2"/>
  <c r="C277" i="5" l="1"/>
  <c r="F276" i="5"/>
  <c r="G276" i="5" s="1"/>
  <c r="A44" i="5"/>
  <c r="B44" i="5"/>
  <c r="F44" i="5" s="1"/>
  <c r="G43" i="5"/>
  <c r="H43" i="5"/>
  <c r="A551" i="5"/>
  <c r="B551" i="5"/>
  <c r="F551" i="5" s="1"/>
  <c r="E552" i="5"/>
  <c r="G550" i="5"/>
  <c r="H550" i="5"/>
  <c r="D107" i="2"/>
  <c r="C278" i="5" l="1"/>
  <c r="F277" i="5"/>
  <c r="G277" i="5" s="1"/>
  <c r="G44" i="5"/>
  <c r="H44" i="5"/>
  <c r="B45" i="5"/>
  <c r="F45" i="5" s="1"/>
  <c r="A45" i="5"/>
  <c r="A552" i="5"/>
  <c r="E553" i="5"/>
  <c r="B552" i="5"/>
  <c r="F552" i="5" s="1"/>
  <c r="G551" i="5"/>
  <c r="H551" i="5"/>
  <c r="D108" i="2"/>
  <c r="C279" i="5" l="1"/>
  <c r="F278" i="5"/>
  <c r="G278" i="5" s="1"/>
  <c r="G45" i="5"/>
  <c r="H45" i="5"/>
  <c r="A46" i="5"/>
  <c r="B46" i="5"/>
  <c r="F46" i="5" s="1"/>
  <c r="H552" i="5"/>
  <c r="G552" i="5"/>
  <c r="A553" i="5"/>
  <c r="E554" i="5"/>
  <c r="B553" i="5"/>
  <c r="F553" i="5" s="1"/>
  <c r="D109" i="2"/>
  <c r="C280" i="5" l="1"/>
  <c r="F279" i="5"/>
  <c r="G279" i="5" s="1"/>
  <c r="B47" i="5"/>
  <c r="F47" i="5" s="1"/>
  <c r="A47" i="5"/>
  <c r="G46" i="5"/>
  <c r="H46" i="5"/>
  <c r="G553" i="5"/>
  <c r="H553" i="5"/>
  <c r="A554" i="5"/>
  <c r="E555" i="5"/>
  <c r="B554" i="5"/>
  <c r="F554" i="5" s="1"/>
  <c r="D110" i="2"/>
  <c r="C281" i="5" l="1"/>
  <c r="F280" i="5"/>
  <c r="G280" i="5" s="1"/>
  <c r="A48" i="5"/>
  <c r="B48" i="5"/>
  <c r="F48" i="5" s="1"/>
  <c r="G47" i="5"/>
  <c r="H47" i="5"/>
  <c r="H554" i="5"/>
  <c r="G554" i="5"/>
  <c r="A555" i="5"/>
  <c r="B555" i="5"/>
  <c r="F555" i="5" s="1"/>
  <c r="E556" i="5"/>
  <c r="D111" i="2"/>
  <c r="C282" i="5" l="1"/>
  <c r="F281" i="5"/>
  <c r="G281" i="5" s="1"/>
  <c r="A49" i="5"/>
  <c r="B49" i="5"/>
  <c r="F49" i="5" s="1"/>
  <c r="G48" i="5"/>
  <c r="H48" i="5"/>
  <c r="A556" i="5"/>
  <c r="E557" i="5"/>
  <c r="B556" i="5"/>
  <c r="F556" i="5" s="1"/>
  <c r="G555" i="5"/>
  <c r="H555" i="5"/>
  <c r="D112" i="2"/>
  <c r="C283" i="5" l="1"/>
  <c r="F282" i="5"/>
  <c r="G282" i="5" s="1"/>
  <c r="G49" i="5"/>
  <c r="H49" i="5"/>
  <c r="A50" i="5"/>
  <c r="B50" i="5"/>
  <c r="F50" i="5" s="1"/>
  <c r="A557" i="5"/>
  <c r="B557" i="5"/>
  <c r="F557" i="5" s="1"/>
  <c r="E558" i="5"/>
  <c r="H556" i="5"/>
  <c r="G556" i="5"/>
  <c r="D113" i="2"/>
  <c r="C284" i="5" l="1"/>
  <c r="F283" i="5"/>
  <c r="G283" i="5" s="1"/>
  <c r="B51" i="5"/>
  <c r="F51" i="5" s="1"/>
  <c r="A51" i="5"/>
  <c r="H50" i="5"/>
  <c r="G50" i="5"/>
  <c r="A558" i="5"/>
  <c r="E559" i="5"/>
  <c r="B558" i="5"/>
  <c r="F558" i="5" s="1"/>
  <c r="H557" i="5"/>
  <c r="G557" i="5"/>
  <c r="D114" i="2"/>
  <c r="C285" i="5" l="1"/>
  <c r="F284" i="5"/>
  <c r="G284" i="5" s="1"/>
  <c r="A52" i="5"/>
  <c r="B52" i="5"/>
  <c r="F52" i="5" s="1"/>
  <c r="G51" i="5"/>
  <c r="H51" i="5"/>
  <c r="H558" i="5"/>
  <c r="G558" i="5"/>
  <c r="A559" i="5"/>
  <c r="E560" i="5"/>
  <c r="B559" i="5"/>
  <c r="F559" i="5" s="1"/>
  <c r="D115" i="2"/>
  <c r="C286" i="5" l="1"/>
  <c r="F285" i="5"/>
  <c r="G285" i="5" s="1"/>
  <c r="B53" i="5"/>
  <c r="F53" i="5" s="1"/>
  <c r="A53" i="5"/>
  <c r="H52" i="5"/>
  <c r="G52" i="5"/>
  <c r="G559" i="5"/>
  <c r="H559" i="5"/>
  <c r="A560" i="5"/>
  <c r="B560" i="5"/>
  <c r="F560" i="5" s="1"/>
  <c r="E561" i="5"/>
  <c r="D116" i="2"/>
  <c r="C287" i="5" l="1"/>
  <c r="F286" i="5"/>
  <c r="G286" i="5" s="1"/>
  <c r="A54" i="5"/>
  <c r="B54" i="5"/>
  <c r="F54" i="5" s="1"/>
  <c r="G53" i="5"/>
  <c r="H53" i="5"/>
  <c r="A561" i="5"/>
  <c r="B561" i="5"/>
  <c r="F561" i="5" s="1"/>
  <c r="E562" i="5"/>
  <c r="H560" i="5"/>
  <c r="G560" i="5"/>
  <c r="D117" i="2"/>
  <c r="C288" i="5" l="1"/>
  <c r="F287" i="5"/>
  <c r="G287" i="5" s="1"/>
  <c r="B55" i="5"/>
  <c r="F55" i="5" s="1"/>
  <c r="A55" i="5"/>
  <c r="G54" i="5"/>
  <c r="H54" i="5"/>
  <c r="G561" i="5"/>
  <c r="H561" i="5"/>
  <c r="A562" i="5"/>
  <c r="B562" i="5"/>
  <c r="F562" i="5" s="1"/>
  <c r="E563" i="5"/>
  <c r="D118" i="2"/>
  <c r="C289" i="5" l="1"/>
  <c r="F288" i="5"/>
  <c r="G288" i="5" s="1"/>
  <c r="A56" i="5"/>
  <c r="B56" i="5"/>
  <c r="F56" i="5" s="1"/>
  <c r="G55" i="5"/>
  <c r="H55" i="5"/>
  <c r="A563" i="5"/>
  <c r="B563" i="5"/>
  <c r="F563" i="5" s="1"/>
  <c r="E564" i="5"/>
  <c r="G562" i="5"/>
  <c r="H562" i="5"/>
  <c r="D119" i="2"/>
  <c r="C290" i="5" l="1"/>
  <c r="F289" i="5"/>
  <c r="G289" i="5" s="1"/>
  <c r="A57" i="5"/>
  <c r="B57" i="5"/>
  <c r="F57" i="5" s="1"/>
  <c r="G56" i="5"/>
  <c r="H56" i="5"/>
  <c r="A564" i="5"/>
  <c r="B564" i="5"/>
  <c r="F564" i="5" s="1"/>
  <c r="E565" i="5"/>
  <c r="G563" i="5"/>
  <c r="H563" i="5"/>
  <c r="D120" i="2"/>
  <c r="C291" i="5" l="1"/>
  <c r="F290" i="5"/>
  <c r="G290" i="5" s="1"/>
  <c r="A58" i="5"/>
  <c r="B58" i="5"/>
  <c r="F58" i="5" s="1"/>
  <c r="G57" i="5"/>
  <c r="H57" i="5"/>
  <c r="G564" i="5"/>
  <c r="H564" i="5"/>
  <c r="A565" i="5"/>
  <c r="E566" i="5"/>
  <c r="B565" i="5"/>
  <c r="F565" i="5" s="1"/>
  <c r="C292" i="5" l="1"/>
  <c r="F291" i="5"/>
  <c r="G291" i="5" s="1"/>
  <c r="B59" i="5"/>
  <c r="F59" i="5" s="1"/>
  <c r="A59" i="5"/>
  <c r="H58" i="5"/>
  <c r="G58" i="5"/>
  <c r="G565" i="5"/>
  <c r="H565" i="5"/>
  <c r="A566" i="5"/>
  <c r="E567" i="5"/>
  <c r="B566" i="5"/>
  <c r="F566" i="5" s="1"/>
  <c r="C293" i="5" l="1"/>
  <c r="F292" i="5"/>
  <c r="G292" i="5" s="1"/>
  <c r="A60" i="5"/>
  <c r="B60" i="5"/>
  <c r="F60" i="5" s="1"/>
  <c r="G59" i="5"/>
  <c r="H59" i="5"/>
  <c r="A567" i="5"/>
  <c r="B567" i="5"/>
  <c r="F567" i="5" s="1"/>
  <c r="E568" i="5"/>
  <c r="H566" i="5"/>
  <c r="G566" i="5"/>
  <c r="C294" i="5" l="1"/>
  <c r="F293" i="5"/>
  <c r="G293" i="5" s="1"/>
  <c r="B61" i="5"/>
  <c r="F61" i="5" s="1"/>
  <c r="A61" i="5"/>
  <c r="G60" i="5"/>
  <c r="H60" i="5"/>
  <c r="A568" i="5"/>
  <c r="E569" i="5"/>
  <c r="B568" i="5"/>
  <c r="F568" i="5" s="1"/>
  <c r="G567" i="5"/>
  <c r="H567" i="5"/>
  <c r="C295" i="5" l="1"/>
  <c r="F294" i="5"/>
  <c r="G294" i="5" s="1"/>
  <c r="A62" i="5"/>
  <c r="B62" i="5"/>
  <c r="F62" i="5" s="1"/>
  <c r="G61" i="5"/>
  <c r="H61" i="5"/>
  <c r="H568" i="5"/>
  <c r="G568" i="5"/>
  <c r="A569" i="5"/>
  <c r="E570" i="5"/>
  <c r="B569" i="5"/>
  <c r="F569" i="5" s="1"/>
  <c r="C296" i="5" l="1"/>
  <c r="F295" i="5"/>
  <c r="G295" i="5" s="1"/>
  <c r="B63" i="5"/>
  <c r="F63" i="5" s="1"/>
  <c r="A63" i="5"/>
  <c r="G62" i="5"/>
  <c r="H62" i="5"/>
  <c r="G569" i="5"/>
  <c r="H569" i="5"/>
  <c r="A570" i="5"/>
  <c r="B570" i="5"/>
  <c r="F570" i="5" s="1"/>
  <c r="E571" i="5"/>
  <c r="C297" i="5" l="1"/>
  <c r="F296" i="5"/>
  <c r="G296" i="5" s="1"/>
  <c r="A64" i="5"/>
  <c r="B64" i="5"/>
  <c r="F64" i="5" s="1"/>
  <c r="G63" i="5"/>
  <c r="H63" i="5"/>
  <c r="A571" i="5"/>
  <c r="E572" i="5"/>
  <c r="B571" i="5"/>
  <c r="F571" i="5" s="1"/>
  <c r="G570" i="5"/>
  <c r="H570" i="5"/>
  <c r="C298" i="5" l="1"/>
  <c r="F297" i="5"/>
  <c r="G297" i="5" s="1"/>
  <c r="G64" i="5"/>
  <c r="H64" i="5"/>
  <c r="A65" i="5"/>
  <c r="B65" i="5"/>
  <c r="F65" i="5" s="1"/>
  <c r="A572" i="5"/>
  <c r="B572" i="5"/>
  <c r="F572" i="5" s="1"/>
  <c r="E573" i="5"/>
  <c r="G571" i="5"/>
  <c r="H571" i="5"/>
  <c r="C299" i="5" l="1"/>
  <c r="F298" i="5"/>
  <c r="G298" i="5" s="1"/>
  <c r="G65" i="5"/>
  <c r="H65" i="5"/>
  <c r="A66" i="5"/>
  <c r="B66" i="5"/>
  <c r="F66" i="5" s="1"/>
  <c r="H572" i="5"/>
  <c r="G572" i="5"/>
  <c r="A573" i="5"/>
  <c r="E574" i="5"/>
  <c r="B573" i="5"/>
  <c r="F573" i="5" s="1"/>
  <c r="C300" i="5" l="1"/>
  <c r="F299" i="5"/>
  <c r="G299" i="5" s="1"/>
  <c r="G66" i="5"/>
  <c r="H66" i="5"/>
  <c r="B67" i="5"/>
  <c r="F67" i="5" s="1"/>
  <c r="A67" i="5"/>
  <c r="G573" i="5"/>
  <c r="H573" i="5"/>
  <c r="A574" i="5"/>
  <c r="B574" i="5"/>
  <c r="F574" i="5" s="1"/>
  <c r="E575" i="5"/>
  <c r="C301" i="5" l="1"/>
  <c r="F300" i="5"/>
  <c r="G300" i="5" s="1"/>
  <c r="A68" i="5"/>
  <c r="B68" i="5"/>
  <c r="F68" i="5" s="1"/>
  <c r="G67" i="5"/>
  <c r="H67" i="5"/>
  <c r="A575" i="5"/>
  <c r="B575" i="5"/>
  <c r="F575" i="5" s="1"/>
  <c r="E576" i="5"/>
  <c r="H574" i="5"/>
  <c r="G574" i="5"/>
  <c r="C302" i="5" l="1"/>
  <c r="F301" i="5"/>
  <c r="G301" i="5" s="1"/>
  <c r="B69" i="5"/>
  <c r="F69" i="5" s="1"/>
  <c r="A69" i="5"/>
  <c r="G68" i="5"/>
  <c r="H68" i="5"/>
  <c r="H575" i="5"/>
  <c r="G575" i="5"/>
  <c r="A576" i="5"/>
  <c r="E577" i="5"/>
  <c r="B576" i="5"/>
  <c r="F576" i="5" s="1"/>
  <c r="C303" i="5" l="1"/>
  <c r="F302" i="5"/>
  <c r="G302" i="5" s="1"/>
  <c r="A70" i="5"/>
  <c r="B70" i="5"/>
  <c r="F70" i="5" s="1"/>
  <c r="G69" i="5"/>
  <c r="H69" i="5"/>
  <c r="G576" i="5"/>
  <c r="H576" i="5"/>
  <c r="A577" i="5"/>
  <c r="E578" i="5"/>
  <c r="B577" i="5"/>
  <c r="F577" i="5" s="1"/>
  <c r="C304" i="5" l="1"/>
  <c r="F303" i="5"/>
  <c r="G303" i="5" s="1"/>
  <c r="G70" i="5"/>
  <c r="H70" i="5"/>
  <c r="B71" i="5"/>
  <c r="F71" i="5" s="1"/>
  <c r="A71" i="5"/>
  <c r="H577" i="5"/>
  <c r="G577" i="5"/>
  <c r="A578" i="5"/>
  <c r="B578" i="5"/>
  <c r="F578" i="5" s="1"/>
  <c r="E579" i="5"/>
  <c r="C305" i="5" l="1"/>
  <c r="F304" i="5"/>
  <c r="G304" i="5" s="1"/>
  <c r="A72" i="5"/>
  <c r="B72" i="5"/>
  <c r="F72" i="5" s="1"/>
  <c r="G71" i="5"/>
  <c r="H71" i="5"/>
  <c r="A579" i="5"/>
  <c r="B579" i="5"/>
  <c r="F579" i="5" s="1"/>
  <c r="E580" i="5"/>
  <c r="G578" i="5"/>
  <c r="H578" i="5"/>
  <c r="C306" i="5" l="1"/>
  <c r="F305" i="5"/>
  <c r="G305" i="5" s="1"/>
  <c r="A73" i="5"/>
  <c r="B73" i="5"/>
  <c r="F73" i="5" s="1"/>
  <c r="G72" i="5"/>
  <c r="H72" i="5"/>
  <c r="G579" i="5"/>
  <c r="H579" i="5"/>
  <c r="A580" i="5"/>
  <c r="B580" i="5"/>
  <c r="F580" i="5" s="1"/>
  <c r="E581" i="5"/>
  <c r="C307" i="5" l="1"/>
  <c r="F306" i="5"/>
  <c r="G306" i="5" s="1"/>
  <c r="A74" i="5"/>
  <c r="B74" i="5"/>
  <c r="F74" i="5" s="1"/>
  <c r="G73" i="5"/>
  <c r="H73" i="5"/>
  <c r="A581" i="5"/>
  <c r="B581" i="5"/>
  <c r="F581" i="5" s="1"/>
  <c r="E582" i="5"/>
  <c r="G580" i="5"/>
  <c r="H580" i="5"/>
  <c r="C308" i="5" l="1"/>
  <c r="F307" i="5"/>
  <c r="G307" i="5" s="1"/>
  <c r="B75" i="5"/>
  <c r="F75" i="5" s="1"/>
  <c r="A75" i="5"/>
  <c r="H74" i="5"/>
  <c r="G74" i="5"/>
  <c r="A582" i="5"/>
  <c r="E583" i="5"/>
  <c r="B582" i="5"/>
  <c r="F582" i="5" s="1"/>
  <c r="H581" i="5"/>
  <c r="G581" i="5"/>
  <c r="C309" i="5" l="1"/>
  <c r="F308" i="5"/>
  <c r="G308" i="5" s="1"/>
  <c r="A76" i="5"/>
  <c r="B76" i="5"/>
  <c r="F76" i="5" s="1"/>
  <c r="G75" i="5"/>
  <c r="H75" i="5"/>
  <c r="H582" i="5"/>
  <c r="G582" i="5"/>
  <c r="A583" i="5"/>
  <c r="E584" i="5"/>
  <c r="B583" i="5"/>
  <c r="F583" i="5" s="1"/>
  <c r="C310" i="5" l="1"/>
  <c r="F309" i="5"/>
  <c r="G309" i="5" s="1"/>
  <c r="G76" i="5"/>
  <c r="H76" i="5"/>
  <c r="B77" i="5"/>
  <c r="F77" i="5" s="1"/>
  <c r="A77" i="5"/>
  <c r="G583" i="5"/>
  <c r="H583" i="5"/>
  <c r="A584" i="5"/>
  <c r="B584" i="5"/>
  <c r="F584" i="5" s="1"/>
  <c r="E585" i="5"/>
  <c r="C311" i="5" l="1"/>
  <c r="F310" i="5"/>
  <c r="G310" i="5" s="1"/>
  <c r="A78" i="5"/>
  <c r="B78" i="5"/>
  <c r="F78" i="5" s="1"/>
  <c r="G77" i="5"/>
  <c r="H77" i="5"/>
  <c r="A585" i="5"/>
  <c r="B585" i="5"/>
  <c r="F585" i="5" s="1"/>
  <c r="E586" i="5"/>
  <c r="G584" i="5"/>
  <c r="H584" i="5"/>
  <c r="C312" i="5" l="1"/>
  <c r="F311" i="5"/>
  <c r="G311" i="5" s="1"/>
  <c r="B79" i="5"/>
  <c r="F79" i="5" s="1"/>
  <c r="A79" i="5"/>
  <c r="G78" i="5"/>
  <c r="H78" i="5"/>
  <c r="G585" i="5"/>
  <c r="H585" i="5"/>
  <c r="A586" i="5"/>
  <c r="B586" i="5"/>
  <c r="F586" i="5" s="1"/>
  <c r="E587" i="5"/>
  <c r="C313" i="5" l="1"/>
  <c r="F312" i="5"/>
  <c r="G312" i="5" s="1"/>
  <c r="A80" i="5"/>
  <c r="B80" i="5"/>
  <c r="F80" i="5" s="1"/>
  <c r="G79" i="5"/>
  <c r="H79" i="5"/>
  <c r="H586" i="5"/>
  <c r="G586" i="5"/>
  <c r="A587" i="5"/>
  <c r="E588" i="5"/>
  <c r="B587" i="5"/>
  <c r="F587" i="5" s="1"/>
  <c r="C314" i="5" l="1"/>
  <c r="F313" i="5"/>
  <c r="G313" i="5" s="1"/>
  <c r="A81" i="5"/>
  <c r="B81" i="5"/>
  <c r="F81" i="5" s="1"/>
  <c r="G80" i="5"/>
  <c r="H80" i="5"/>
  <c r="G587" i="5"/>
  <c r="H587" i="5"/>
  <c r="A588" i="5"/>
  <c r="B588" i="5"/>
  <c r="F588" i="5" s="1"/>
  <c r="E589" i="5"/>
  <c r="C315" i="5" l="1"/>
  <c r="F314" i="5"/>
  <c r="G314" i="5" s="1"/>
  <c r="A82" i="5"/>
  <c r="B82" i="5"/>
  <c r="F82" i="5" s="1"/>
  <c r="G81" i="5"/>
  <c r="H81" i="5"/>
  <c r="A589" i="5"/>
  <c r="E590" i="5"/>
  <c r="B589" i="5"/>
  <c r="F589" i="5" s="1"/>
  <c r="G588" i="5"/>
  <c r="H588" i="5"/>
  <c r="C316" i="5" l="1"/>
  <c r="F315" i="5"/>
  <c r="G315" i="5" s="1"/>
  <c r="B83" i="5"/>
  <c r="F83" i="5" s="1"/>
  <c r="A83" i="5"/>
  <c r="H82" i="5"/>
  <c r="G82" i="5"/>
  <c r="G589" i="5"/>
  <c r="H589" i="5"/>
  <c r="A590" i="5"/>
  <c r="B590" i="5"/>
  <c r="F590" i="5" s="1"/>
  <c r="E591" i="5"/>
  <c r="C317" i="5" l="1"/>
  <c r="F316" i="5"/>
  <c r="G316" i="5" s="1"/>
  <c r="A84" i="5"/>
  <c r="B84" i="5"/>
  <c r="F84" i="5" s="1"/>
  <c r="G83" i="5"/>
  <c r="H83" i="5"/>
  <c r="A591" i="5"/>
  <c r="B591" i="5"/>
  <c r="F591" i="5" s="1"/>
  <c r="E592" i="5"/>
  <c r="H590" i="5"/>
  <c r="G590" i="5"/>
  <c r="C318" i="5" l="1"/>
  <c r="F317" i="5"/>
  <c r="G317" i="5" s="1"/>
  <c r="H84" i="5"/>
  <c r="G84" i="5"/>
  <c r="B85" i="5"/>
  <c r="F85" i="5" s="1"/>
  <c r="A85" i="5"/>
  <c r="G591" i="5"/>
  <c r="H591" i="5"/>
  <c r="A592" i="5"/>
  <c r="E593" i="5"/>
  <c r="B592" i="5"/>
  <c r="F592" i="5" s="1"/>
  <c r="C319" i="5" l="1"/>
  <c r="F318" i="5"/>
  <c r="G318" i="5" s="1"/>
  <c r="A86" i="5"/>
  <c r="B86" i="5"/>
  <c r="F86" i="5" s="1"/>
  <c r="G85" i="5"/>
  <c r="H85" i="5"/>
  <c r="H592" i="5"/>
  <c r="G592" i="5"/>
  <c r="A593" i="5"/>
  <c r="E594" i="5"/>
  <c r="B593" i="5"/>
  <c r="F593" i="5" s="1"/>
  <c r="C320" i="5" l="1"/>
  <c r="F319" i="5"/>
  <c r="G319" i="5" s="1"/>
  <c r="B87" i="5"/>
  <c r="F87" i="5" s="1"/>
  <c r="A87" i="5"/>
  <c r="G86" i="5"/>
  <c r="H86" i="5"/>
  <c r="H593" i="5"/>
  <c r="G593" i="5"/>
  <c r="A594" i="5"/>
  <c r="B594" i="5"/>
  <c r="F594" i="5" s="1"/>
  <c r="E595" i="5"/>
  <c r="C321" i="5" l="1"/>
  <c r="F320" i="5"/>
  <c r="G320" i="5" s="1"/>
  <c r="A88" i="5"/>
  <c r="B88" i="5"/>
  <c r="F88" i="5" s="1"/>
  <c r="G87" i="5"/>
  <c r="H87" i="5"/>
  <c r="H594" i="5"/>
  <c r="G594" i="5"/>
  <c r="A595" i="5"/>
  <c r="E596" i="5"/>
  <c r="B595" i="5"/>
  <c r="F595" i="5" s="1"/>
  <c r="C322" i="5" l="1"/>
  <c r="F321" i="5"/>
  <c r="G321" i="5" s="1"/>
  <c r="G88" i="5"/>
  <c r="H88" i="5"/>
  <c r="A89" i="5"/>
  <c r="B89" i="5"/>
  <c r="F89" i="5" s="1"/>
  <c r="H595" i="5"/>
  <c r="G595" i="5"/>
  <c r="A596" i="5"/>
  <c r="B596" i="5"/>
  <c r="F596" i="5" s="1"/>
  <c r="E597" i="5"/>
  <c r="C323" i="5" l="1"/>
  <c r="F322" i="5"/>
  <c r="G322" i="5" s="1"/>
  <c r="A90" i="5"/>
  <c r="B90" i="5"/>
  <c r="F90" i="5" s="1"/>
  <c r="G89" i="5"/>
  <c r="H89" i="5"/>
  <c r="A597" i="5"/>
  <c r="E598" i="5"/>
  <c r="B597" i="5"/>
  <c r="F597" i="5" s="1"/>
  <c r="G596" i="5"/>
  <c r="H596" i="5"/>
  <c r="C324" i="5" l="1"/>
  <c r="F323" i="5"/>
  <c r="G323" i="5" s="1"/>
  <c r="B91" i="5"/>
  <c r="F91" i="5" s="1"/>
  <c r="A91" i="5"/>
  <c r="H90" i="5"/>
  <c r="G90" i="5"/>
  <c r="H597" i="5"/>
  <c r="G597" i="5"/>
  <c r="A598" i="5"/>
  <c r="B598" i="5"/>
  <c r="F598" i="5" s="1"/>
  <c r="E599" i="5"/>
  <c r="C325" i="5" l="1"/>
  <c r="F324" i="5"/>
  <c r="G324" i="5" s="1"/>
  <c r="A92" i="5"/>
  <c r="B92" i="5"/>
  <c r="F92" i="5" s="1"/>
  <c r="G91" i="5"/>
  <c r="H91" i="5"/>
  <c r="A599" i="5"/>
  <c r="E600" i="5"/>
  <c r="B599" i="5"/>
  <c r="F599" i="5" s="1"/>
  <c r="H598" i="5"/>
  <c r="G598" i="5"/>
  <c r="C326" i="5" l="1"/>
  <c r="F325" i="5"/>
  <c r="G325" i="5" s="1"/>
  <c r="G92" i="5"/>
  <c r="H92" i="5"/>
  <c r="B93" i="5"/>
  <c r="F93" i="5" s="1"/>
  <c r="A93" i="5"/>
  <c r="G599" i="5"/>
  <c r="H599" i="5"/>
  <c r="A600" i="5"/>
  <c r="B600" i="5"/>
  <c r="F600" i="5" s="1"/>
  <c r="E601" i="5"/>
  <c r="C327" i="5" l="1"/>
  <c r="F326" i="5"/>
  <c r="G326" i="5" s="1"/>
  <c r="A94" i="5"/>
  <c r="B94" i="5"/>
  <c r="F94" i="5" s="1"/>
  <c r="G93" i="5"/>
  <c r="H93" i="5"/>
  <c r="A601" i="5"/>
  <c r="B601" i="5"/>
  <c r="F601" i="5" s="1"/>
  <c r="E602" i="5"/>
  <c r="G600" i="5"/>
  <c r="H600" i="5"/>
  <c r="C328" i="5" l="1"/>
  <c r="F327" i="5"/>
  <c r="G327" i="5" s="1"/>
  <c r="B95" i="5"/>
  <c r="F95" i="5" s="1"/>
  <c r="A95" i="5"/>
  <c r="G94" i="5"/>
  <c r="H94" i="5"/>
  <c r="A602" i="5"/>
  <c r="E603" i="5"/>
  <c r="B602" i="5"/>
  <c r="F602" i="5" s="1"/>
  <c r="G601" i="5"/>
  <c r="H601" i="5"/>
  <c r="C329" i="5" l="1"/>
  <c r="F328" i="5"/>
  <c r="G328" i="5" s="1"/>
  <c r="A96" i="5"/>
  <c r="B96" i="5"/>
  <c r="F96" i="5" s="1"/>
  <c r="G95" i="5"/>
  <c r="H95" i="5"/>
  <c r="H602" i="5"/>
  <c r="G602" i="5"/>
  <c r="A603" i="5"/>
  <c r="B603" i="5"/>
  <c r="F603" i="5" s="1"/>
  <c r="E604" i="5"/>
  <c r="C330" i="5" l="1"/>
  <c r="F329" i="5"/>
  <c r="G329" i="5" s="1"/>
  <c r="G96" i="5"/>
  <c r="H96" i="5"/>
  <c r="A97" i="5"/>
  <c r="B97" i="5"/>
  <c r="F97" i="5" s="1"/>
  <c r="A604" i="5"/>
  <c r="E605" i="5"/>
  <c r="B604" i="5"/>
  <c r="F604" i="5" s="1"/>
  <c r="H603" i="5"/>
  <c r="G603" i="5"/>
  <c r="C331" i="5" l="1"/>
  <c r="F330" i="5"/>
  <c r="G330" i="5" s="1"/>
  <c r="G97" i="5"/>
  <c r="H97" i="5"/>
  <c r="A98" i="5"/>
  <c r="B98" i="5"/>
  <c r="F98" i="5" s="1"/>
  <c r="H604" i="5"/>
  <c r="G604" i="5"/>
  <c r="A605" i="5"/>
  <c r="B605" i="5"/>
  <c r="F605" i="5" s="1"/>
  <c r="E606" i="5"/>
  <c r="C332" i="5" l="1"/>
  <c r="F331" i="5"/>
  <c r="G331" i="5" s="1"/>
  <c r="G98" i="5"/>
  <c r="H98" i="5"/>
  <c r="B99" i="5"/>
  <c r="F99" i="5" s="1"/>
  <c r="A99" i="5"/>
  <c r="A606" i="5"/>
  <c r="B606" i="5"/>
  <c r="F606" i="5" s="1"/>
  <c r="E607" i="5"/>
  <c r="H605" i="5"/>
  <c r="G605" i="5"/>
  <c r="C333" i="5" l="1"/>
  <c r="F332" i="5"/>
  <c r="G332" i="5" s="1"/>
  <c r="A100" i="5"/>
  <c r="B100" i="5"/>
  <c r="F100" i="5" s="1"/>
  <c r="G99" i="5"/>
  <c r="H99" i="5"/>
  <c r="A607" i="5"/>
  <c r="E608" i="5"/>
  <c r="B607" i="5"/>
  <c r="F607" i="5" s="1"/>
  <c r="G606" i="5"/>
  <c r="H606" i="5"/>
  <c r="C334" i="5" l="1"/>
  <c r="F333" i="5"/>
  <c r="G333" i="5" s="1"/>
  <c r="B101" i="5"/>
  <c r="F101" i="5" s="1"/>
  <c r="A101" i="5"/>
  <c r="G100" i="5"/>
  <c r="H100" i="5"/>
  <c r="G607" i="5"/>
  <c r="H607" i="5"/>
  <c r="A608" i="5"/>
  <c r="B608" i="5"/>
  <c r="F608" i="5" s="1"/>
  <c r="E609" i="5"/>
  <c r="C335" i="5" l="1"/>
  <c r="F334" i="5"/>
  <c r="G334" i="5" s="1"/>
  <c r="A102" i="5"/>
  <c r="B102" i="5"/>
  <c r="F102" i="5" s="1"/>
  <c r="G101" i="5"/>
  <c r="H101" i="5"/>
  <c r="G608" i="5"/>
  <c r="H608" i="5"/>
  <c r="A609" i="5"/>
  <c r="B609" i="5"/>
  <c r="F609" i="5" s="1"/>
  <c r="E610" i="5"/>
  <c r="C336" i="5" l="1"/>
  <c r="F335" i="5"/>
  <c r="G335" i="5" s="1"/>
  <c r="B103" i="5"/>
  <c r="F103" i="5" s="1"/>
  <c r="A103" i="5"/>
  <c r="G102" i="5"/>
  <c r="H102" i="5"/>
  <c r="A610" i="5"/>
  <c r="E611" i="5"/>
  <c r="B610" i="5"/>
  <c r="F610" i="5" s="1"/>
  <c r="H609" i="5"/>
  <c r="G609" i="5"/>
  <c r="C337" i="5" l="1"/>
  <c r="F336" i="5"/>
  <c r="G336" i="5" s="1"/>
  <c r="A104" i="5"/>
  <c r="B104" i="5"/>
  <c r="F104" i="5" s="1"/>
  <c r="G103" i="5"/>
  <c r="H103" i="5"/>
  <c r="H610" i="5"/>
  <c r="G610" i="5"/>
  <c r="A611" i="5"/>
  <c r="E612" i="5"/>
  <c r="B611" i="5"/>
  <c r="F611" i="5" s="1"/>
  <c r="C338" i="5" l="1"/>
  <c r="F337" i="5"/>
  <c r="G337" i="5" s="1"/>
  <c r="G104" i="5"/>
  <c r="H104" i="5"/>
  <c r="A105" i="5"/>
  <c r="B105" i="5"/>
  <c r="F105" i="5" s="1"/>
  <c r="H611" i="5"/>
  <c r="G611" i="5"/>
  <c r="A612" i="5"/>
  <c r="E613" i="5"/>
  <c r="B612" i="5"/>
  <c r="F612" i="5" s="1"/>
  <c r="C339" i="5" l="1"/>
  <c r="F338" i="5"/>
  <c r="G338" i="5" s="1"/>
  <c r="A106" i="5"/>
  <c r="B106" i="5"/>
  <c r="F106" i="5" s="1"/>
  <c r="G105" i="5"/>
  <c r="H105" i="5"/>
  <c r="H612" i="5"/>
  <c r="G612" i="5"/>
  <c r="A613" i="5"/>
  <c r="B613" i="5"/>
  <c r="F613" i="5" s="1"/>
  <c r="E614" i="5"/>
  <c r="C340" i="5" l="1"/>
  <c r="F339" i="5"/>
  <c r="G339" i="5" s="1"/>
  <c r="B107" i="5"/>
  <c r="F107" i="5" s="1"/>
  <c r="A107" i="5"/>
  <c r="H106" i="5"/>
  <c r="G106" i="5"/>
  <c r="G613" i="5"/>
  <c r="H613" i="5"/>
  <c r="A614" i="5"/>
  <c r="E615" i="5"/>
  <c r="B614" i="5"/>
  <c r="F614" i="5" s="1"/>
  <c r="C341" i="5" l="1"/>
  <c r="F340" i="5"/>
  <c r="G340" i="5" s="1"/>
  <c r="A108" i="5"/>
  <c r="B108" i="5"/>
  <c r="F108" i="5" s="1"/>
  <c r="G107" i="5"/>
  <c r="H107" i="5"/>
  <c r="G614" i="5"/>
  <c r="H614" i="5"/>
  <c r="A615" i="5"/>
  <c r="B615" i="5"/>
  <c r="F615" i="5" s="1"/>
  <c r="E616" i="5"/>
  <c r="C342" i="5" l="1"/>
  <c r="F341" i="5"/>
  <c r="G341" i="5" s="1"/>
  <c r="B109" i="5"/>
  <c r="F109" i="5" s="1"/>
  <c r="A109" i="5"/>
  <c r="G108" i="5"/>
  <c r="H108" i="5"/>
  <c r="G615" i="5"/>
  <c r="H615" i="5"/>
  <c r="A616" i="5"/>
  <c r="B616" i="5"/>
  <c r="F616" i="5" s="1"/>
  <c r="E617" i="5"/>
  <c r="C343" i="5" l="1"/>
  <c r="F342" i="5"/>
  <c r="G342" i="5" s="1"/>
  <c r="A110" i="5"/>
  <c r="B110" i="5"/>
  <c r="F110" i="5" s="1"/>
  <c r="G109" i="5"/>
  <c r="H109" i="5"/>
  <c r="G616" i="5"/>
  <c r="H616" i="5"/>
  <c r="A617" i="5"/>
  <c r="B617" i="5"/>
  <c r="F617" i="5" s="1"/>
  <c r="E618" i="5"/>
  <c r="F344" i="5" l="1"/>
  <c r="G344" i="5" s="1"/>
  <c r="F343" i="5"/>
  <c r="G343" i="5" s="1"/>
  <c r="B111" i="5"/>
  <c r="F111" i="5" s="1"/>
  <c r="A111" i="5"/>
  <c r="G110" i="5"/>
  <c r="H110" i="5"/>
  <c r="H617" i="5"/>
  <c r="G617" i="5"/>
  <c r="A618" i="5"/>
  <c r="E619" i="5"/>
  <c r="B618" i="5"/>
  <c r="F618" i="5" s="1"/>
  <c r="A112" i="5" l="1"/>
  <c r="B112" i="5"/>
  <c r="F112" i="5" s="1"/>
  <c r="G111" i="5"/>
  <c r="H111" i="5"/>
  <c r="H618" i="5"/>
  <c r="G618" i="5"/>
  <c r="A619" i="5"/>
  <c r="B619" i="5"/>
  <c r="F619" i="5" s="1"/>
  <c r="E620" i="5"/>
  <c r="G112" i="5" l="1"/>
  <c r="H112" i="5"/>
  <c r="A113" i="5"/>
  <c r="B113" i="5"/>
  <c r="F113" i="5" s="1"/>
  <c r="A620" i="5"/>
  <c r="E621" i="5"/>
  <c r="B620" i="5"/>
  <c r="F620" i="5" s="1"/>
  <c r="G619" i="5"/>
  <c r="H619" i="5"/>
  <c r="A114" i="5" l="1"/>
  <c r="B114" i="5"/>
  <c r="F114" i="5" s="1"/>
  <c r="G113" i="5"/>
  <c r="H113" i="5"/>
  <c r="G620" i="5"/>
  <c r="H620" i="5"/>
  <c r="A621" i="5"/>
  <c r="B621" i="5"/>
  <c r="F621" i="5" s="1"/>
  <c r="E622" i="5"/>
  <c r="H114" i="5" l="1"/>
  <c r="G114" i="5"/>
  <c r="B115" i="5"/>
  <c r="F115" i="5" s="1"/>
  <c r="A115" i="5"/>
  <c r="G621" i="5"/>
  <c r="H621" i="5"/>
  <c r="A622" i="5"/>
  <c r="B622" i="5"/>
  <c r="F622" i="5" s="1"/>
  <c r="E623" i="5"/>
  <c r="A116" i="5" l="1"/>
  <c r="B116" i="5"/>
  <c r="F116" i="5" s="1"/>
  <c r="G115" i="5"/>
  <c r="H115" i="5"/>
  <c r="H622" i="5"/>
  <c r="G622" i="5"/>
  <c r="A623" i="5"/>
  <c r="E624" i="5"/>
  <c r="B623" i="5"/>
  <c r="F623" i="5" s="1"/>
  <c r="H116" i="5" l="1"/>
  <c r="G116" i="5"/>
  <c r="B117" i="5"/>
  <c r="F117" i="5" s="1"/>
  <c r="A117" i="5"/>
  <c r="H623" i="5"/>
  <c r="G623" i="5"/>
  <c r="A624" i="5"/>
  <c r="E625" i="5"/>
  <c r="B624" i="5"/>
  <c r="F624" i="5" s="1"/>
  <c r="A118" i="5" l="1"/>
  <c r="B118" i="5"/>
  <c r="F118" i="5" s="1"/>
  <c r="G117" i="5"/>
  <c r="H117" i="5"/>
  <c r="H624" i="5"/>
  <c r="G624" i="5"/>
  <c r="A625" i="5"/>
  <c r="B625" i="5"/>
  <c r="F625" i="5" s="1"/>
  <c r="E626" i="5"/>
  <c r="B119" i="5" l="1"/>
  <c r="F119" i="5" s="1"/>
  <c r="A119" i="5"/>
  <c r="G118" i="5"/>
  <c r="H118" i="5"/>
  <c r="H625" i="5"/>
  <c r="G625" i="5"/>
  <c r="A626" i="5"/>
  <c r="E627" i="5"/>
  <c r="B626" i="5"/>
  <c r="F626" i="5" s="1"/>
  <c r="A120" i="5" l="1"/>
  <c r="B120" i="5"/>
  <c r="F120" i="5" s="1"/>
  <c r="G119" i="5"/>
  <c r="H119" i="5"/>
  <c r="H626" i="5"/>
  <c r="G626" i="5"/>
  <c r="A627" i="5"/>
  <c r="E628" i="5"/>
  <c r="B627" i="5"/>
  <c r="F627" i="5" s="1"/>
  <c r="H120" i="5" l="1"/>
  <c r="G120" i="5"/>
  <c r="A121" i="5"/>
  <c r="B121" i="5"/>
  <c r="F121" i="5" s="1"/>
  <c r="G627" i="5"/>
  <c r="H627" i="5"/>
  <c r="A628" i="5"/>
  <c r="E629" i="5"/>
  <c r="B628" i="5"/>
  <c r="F628" i="5" s="1"/>
  <c r="A122" i="5" l="1"/>
  <c r="B122" i="5"/>
  <c r="F122" i="5" s="1"/>
  <c r="G121" i="5"/>
  <c r="H121" i="5"/>
  <c r="A629" i="5"/>
  <c r="E630" i="5"/>
  <c r="B629" i="5"/>
  <c r="F629" i="5" s="1"/>
  <c r="H628" i="5"/>
  <c r="G628" i="5"/>
  <c r="G122" i="5" l="1"/>
  <c r="H122" i="5"/>
  <c r="B123" i="5"/>
  <c r="F123" i="5" s="1"/>
  <c r="A123" i="5"/>
  <c r="H629" i="5"/>
  <c r="G629" i="5"/>
  <c r="A630" i="5"/>
  <c r="E631" i="5"/>
  <c r="B630" i="5"/>
  <c r="F630" i="5" s="1"/>
  <c r="A124" i="5" l="1"/>
  <c r="B124" i="5"/>
  <c r="F124" i="5" s="1"/>
  <c r="G123" i="5"/>
  <c r="H123" i="5"/>
  <c r="H630" i="5"/>
  <c r="G630" i="5"/>
  <c r="A631" i="5"/>
  <c r="E632" i="5"/>
  <c r="B631" i="5"/>
  <c r="F631" i="5" s="1"/>
  <c r="B125" i="5" l="1"/>
  <c r="F125" i="5" s="1"/>
  <c r="A125" i="5"/>
  <c r="G124" i="5"/>
  <c r="H124" i="5"/>
  <c r="H631" i="5"/>
  <c r="G631" i="5"/>
  <c r="A632" i="5"/>
  <c r="E633" i="5"/>
  <c r="B632" i="5"/>
  <c r="F632" i="5" s="1"/>
  <c r="A126" i="5" l="1"/>
  <c r="B126" i="5"/>
  <c r="F126" i="5" s="1"/>
  <c r="G125" i="5"/>
  <c r="H125" i="5"/>
  <c r="H632" i="5"/>
  <c r="G632" i="5"/>
  <c r="A633" i="5"/>
  <c r="E634" i="5"/>
  <c r="B633" i="5"/>
  <c r="F633" i="5" s="1"/>
  <c r="B127" i="5" l="1"/>
  <c r="F127" i="5" s="1"/>
  <c r="A127" i="5"/>
  <c r="G126" i="5"/>
  <c r="H126" i="5"/>
  <c r="G633" i="5"/>
  <c r="H633" i="5"/>
  <c r="A634" i="5"/>
  <c r="E635" i="5"/>
  <c r="B634" i="5"/>
  <c r="F634" i="5" s="1"/>
  <c r="A128" i="5" l="1"/>
  <c r="B128" i="5"/>
  <c r="F128" i="5" s="1"/>
  <c r="G127" i="5"/>
  <c r="H127" i="5"/>
  <c r="A635" i="5"/>
  <c r="B635" i="5"/>
  <c r="F635" i="5" s="1"/>
  <c r="E636" i="5"/>
  <c r="G634" i="5"/>
  <c r="H634" i="5"/>
  <c r="H128" i="5" l="1"/>
  <c r="G128" i="5"/>
  <c r="A129" i="5"/>
  <c r="B129" i="5"/>
  <c r="F129" i="5" s="1"/>
  <c r="A636" i="5"/>
  <c r="E637" i="5"/>
  <c r="B636" i="5"/>
  <c r="F636" i="5" s="1"/>
  <c r="H635" i="5"/>
  <c r="G635" i="5"/>
  <c r="A130" i="5" l="1"/>
  <c r="B130" i="5"/>
  <c r="F130" i="5" s="1"/>
  <c r="G129" i="5"/>
  <c r="H129" i="5"/>
  <c r="H636" i="5"/>
  <c r="G636" i="5"/>
  <c r="A637" i="5"/>
  <c r="E638" i="5"/>
  <c r="B637" i="5"/>
  <c r="F637" i="5" s="1"/>
  <c r="H130" i="5" l="1"/>
  <c r="G130" i="5"/>
  <c r="B131" i="5"/>
  <c r="F131" i="5" s="1"/>
  <c r="A131" i="5"/>
  <c r="G637" i="5"/>
  <c r="H637" i="5"/>
  <c r="A638" i="5"/>
  <c r="B638" i="5"/>
  <c r="F638" i="5" s="1"/>
  <c r="E639" i="5"/>
  <c r="A132" i="5" l="1"/>
  <c r="B132" i="5"/>
  <c r="F132" i="5" s="1"/>
  <c r="G131" i="5"/>
  <c r="H131" i="5"/>
  <c r="A639" i="5"/>
  <c r="E640" i="5"/>
  <c r="B639" i="5"/>
  <c r="F639" i="5" s="1"/>
  <c r="H638" i="5"/>
  <c r="G638" i="5"/>
  <c r="G132" i="5" l="1"/>
  <c r="H132" i="5"/>
  <c r="B133" i="5"/>
  <c r="F133" i="5" s="1"/>
  <c r="A133" i="5"/>
  <c r="G639" i="5"/>
  <c r="H639" i="5"/>
  <c r="A640" i="5"/>
  <c r="E641" i="5"/>
  <c r="B640" i="5"/>
  <c r="F640" i="5" s="1"/>
  <c r="A134" i="5" l="1"/>
  <c r="B134" i="5"/>
  <c r="F134" i="5" s="1"/>
  <c r="G133" i="5"/>
  <c r="H133" i="5"/>
  <c r="A641" i="5"/>
  <c r="B641" i="5"/>
  <c r="F641" i="5" s="1"/>
  <c r="E642" i="5"/>
  <c r="H640" i="5"/>
  <c r="G640" i="5"/>
  <c r="B135" i="5" l="1"/>
  <c r="F135" i="5" s="1"/>
  <c r="A135" i="5"/>
  <c r="G134" i="5"/>
  <c r="H134" i="5"/>
  <c r="A642" i="5"/>
  <c r="B642" i="5"/>
  <c r="F642" i="5" s="1"/>
  <c r="E643" i="5"/>
  <c r="H641" i="5"/>
  <c r="G641" i="5"/>
  <c r="A136" i="5" l="1"/>
  <c r="B136" i="5"/>
  <c r="F136" i="5" s="1"/>
  <c r="G135" i="5"/>
  <c r="H135" i="5"/>
  <c r="G642" i="5"/>
  <c r="H642" i="5"/>
  <c r="A643" i="5"/>
  <c r="E644" i="5"/>
  <c r="B643" i="5"/>
  <c r="F643" i="5" s="1"/>
  <c r="H136" i="5" l="1"/>
  <c r="G136" i="5"/>
  <c r="A137" i="5"/>
  <c r="B137" i="5"/>
  <c r="F137" i="5" s="1"/>
  <c r="H643" i="5"/>
  <c r="G643" i="5"/>
  <c r="A644" i="5"/>
  <c r="B644" i="5"/>
  <c r="F644" i="5" s="1"/>
  <c r="E645" i="5"/>
  <c r="G137" i="5" l="1"/>
  <c r="H137" i="5"/>
  <c r="A138" i="5"/>
  <c r="B138" i="5"/>
  <c r="F138" i="5" s="1"/>
  <c r="H644" i="5"/>
  <c r="G644" i="5"/>
  <c r="A645" i="5"/>
  <c r="E646" i="5"/>
  <c r="B645" i="5"/>
  <c r="F645" i="5" s="1"/>
  <c r="B139" i="5" l="1"/>
  <c r="F139" i="5" s="1"/>
  <c r="A139" i="5"/>
  <c r="H138" i="5"/>
  <c r="G138" i="5"/>
  <c r="H645" i="5"/>
  <c r="G645" i="5"/>
  <c r="A646" i="5"/>
  <c r="B646" i="5"/>
  <c r="F646" i="5" s="1"/>
  <c r="E647" i="5"/>
  <c r="A140" i="5" l="1"/>
  <c r="B140" i="5"/>
  <c r="F140" i="5" s="1"/>
  <c r="G139" i="5"/>
  <c r="H139" i="5"/>
  <c r="A647" i="5"/>
  <c r="B647" i="5"/>
  <c r="F647" i="5" s="1"/>
  <c r="E648" i="5"/>
  <c r="H646" i="5"/>
  <c r="G646" i="5"/>
  <c r="H140" i="5" l="1"/>
  <c r="G140" i="5"/>
  <c r="A648" i="5"/>
  <c r="B648" i="5"/>
  <c r="F648" i="5" s="1"/>
  <c r="E649" i="5"/>
  <c r="H647" i="5"/>
  <c r="G647" i="5"/>
  <c r="A649" i="5" l="1"/>
  <c r="E650" i="5"/>
  <c r="B649" i="5"/>
  <c r="F649" i="5" s="1"/>
  <c r="H648" i="5"/>
  <c r="G648" i="5"/>
  <c r="G649" i="5" l="1"/>
  <c r="H649" i="5"/>
  <c r="A650" i="5"/>
  <c r="E651" i="5"/>
  <c r="B650" i="5"/>
  <c r="F650" i="5" s="1"/>
  <c r="H650" i="5" l="1"/>
  <c r="G650" i="5"/>
  <c r="A651" i="5"/>
  <c r="E652" i="5"/>
  <c r="B651" i="5"/>
  <c r="F651" i="5" s="1"/>
  <c r="H651" i="5" l="1"/>
  <c r="G651" i="5"/>
  <c r="A652" i="5"/>
  <c r="B652" i="5"/>
  <c r="F652" i="5" s="1"/>
  <c r="E653" i="5"/>
  <c r="A653" i="5" l="1"/>
  <c r="B653" i="5"/>
  <c r="F653" i="5" s="1"/>
  <c r="E654" i="5"/>
  <c r="G652" i="5"/>
  <c r="H652" i="5"/>
  <c r="A654" i="5" l="1"/>
  <c r="B654" i="5"/>
  <c r="F654" i="5" s="1"/>
  <c r="E655" i="5"/>
  <c r="G653" i="5"/>
  <c r="H653" i="5"/>
  <c r="A655" i="5" l="1"/>
  <c r="E656" i="5"/>
  <c r="B655" i="5"/>
  <c r="F655" i="5" s="1"/>
  <c r="H654" i="5"/>
  <c r="G654" i="5"/>
  <c r="H655" i="5" l="1"/>
  <c r="G655" i="5"/>
  <c r="A656" i="5"/>
  <c r="B656" i="5"/>
  <c r="F656" i="5" s="1"/>
  <c r="E657" i="5"/>
  <c r="A657" i="5" l="1"/>
  <c r="B657" i="5"/>
  <c r="F657" i="5" s="1"/>
  <c r="E658" i="5"/>
  <c r="G656" i="5"/>
  <c r="H656" i="5"/>
  <c r="H657" i="5" l="1"/>
  <c r="G657" i="5"/>
  <c r="A658" i="5"/>
  <c r="E659" i="5"/>
  <c r="B658" i="5"/>
  <c r="F658" i="5" s="1"/>
  <c r="G658" i="5" l="1"/>
  <c r="H658" i="5"/>
  <c r="A659" i="5"/>
  <c r="B659" i="5"/>
  <c r="F659" i="5" s="1"/>
  <c r="E660" i="5"/>
  <c r="A660" i="5" l="1"/>
  <c r="B660" i="5"/>
  <c r="F660" i="5" s="1"/>
  <c r="E661" i="5"/>
  <c r="G659" i="5"/>
  <c r="H659" i="5"/>
  <c r="H660" i="5" l="1"/>
  <c r="G660" i="5"/>
  <c r="A661" i="5"/>
  <c r="B661" i="5"/>
  <c r="F661" i="5" s="1"/>
  <c r="E662" i="5"/>
  <c r="A662" i="5" l="1"/>
  <c r="E663" i="5"/>
  <c r="B662" i="5"/>
  <c r="F662" i="5" s="1"/>
  <c r="H661" i="5"/>
  <c r="G661" i="5"/>
  <c r="A663" i="5" l="1"/>
  <c r="E664" i="5"/>
  <c r="B663" i="5"/>
  <c r="F663" i="5" s="1"/>
  <c r="G662" i="5"/>
  <c r="H662" i="5"/>
  <c r="H663" i="5" l="1"/>
  <c r="G663" i="5"/>
  <c r="A664" i="5"/>
  <c r="E665" i="5"/>
  <c r="B664" i="5"/>
  <c r="F664" i="5" s="1"/>
  <c r="G664" i="5" l="1"/>
  <c r="H664" i="5"/>
  <c r="A665" i="5"/>
  <c r="E666" i="5"/>
  <c r="B665" i="5"/>
  <c r="F665" i="5" s="1"/>
  <c r="G665" i="5" l="1"/>
  <c r="H665" i="5"/>
  <c r="A666" i="5"/>
  <c r="B666" i="5"/>
  <c r="F666" i="5" s="1"/>
  <c r="E667" i="5"/>
  <c r="A667" i="5" l="1"/>
  <c r="E668" i="5"/>
  <c r="B667" i="5"/>
  <c r="F667" i="5" s="1"/>
  <c r="G666" i="5"/>
  <c r="H666" i="5"/>
  <c r="A668" i="5" l="1"/>
  <c r="E669" i="5"/>
  <c r="B668" i="5"/>
  <c r="F668" i="5" s="1"/>
  <c r="G667" i="5"/>
  <c r="H667" i="5"/>
  <c r="G668" i="5" l="1"/>
  <c r="H668" i="5"/>
  <c r="A669" i="5"/>
  <c r="B669" i="5"/>
  <c r="F669" i="5" s="1"/>
  <c r="E670" i="5"/>
  <c r="A670" i="5" l="1"/>
  <c r="B670" i="5"/>
  <c r="F670" i="5" s="1"/>
  <c r="E671" i="5"/>
  <c r="G669" i="5"/>
  <c r="H669" i="5"/>
  <c r="H670" i="5" l="1"/>
  <c r="G670" i="5"/>
  <c r="A671" i="5"/>
  <c r="B671" i="5"/>
  <c r="F671" i="5" s="1"/>
  <c r="E672" i="5"/>
  <c r="H671" i="5" l="1"/>
  <c r="G671" i="5"/>
  <c r="A672" i="5"/>
  <c r="E673" i="5"/>
  <c r="B672" i="5"/>
  <c r="F672" i="5" s="1"/>
  <c r="G672" i="5" l="1"/>
  <c r="H672" i="5"/>
  <c r="A673" i="5"/>
  <c r="E674" i="5"/>
  <c r="B673" i="5"/>
  <c r="F673" i="5" s="1"/>
  <c r="H673" i="5" l="1"/>
  <c r="G673" i="5"/>
  <c r="A674" i="5"/>
  <c r="B674" i="5"/>
  <c r="F674" i="5" s="1"/>
  <c r="E675" i="5"/>
  <c r="G674" i="5" l="1"/>
  <c r="H674" i="5"/>
  <c r="A675" i="5"/>
  <c r="E676" i="5"/>
  <c r="B675" i="5"/>
  <c r="F675" i="5" s="1"/>
  <c r="A676" i="5" l="1"/>
  <c r="B676" i="5"/>
  <c r="F676" i="5" s="1"/>
  <c r="E677" i="5"/>
  <c r="G675" i="5"/>
  <c r="H675" i="5"/>
  <c r="G676" i="5" l="1"/>
  <c r="H676" i="5"/>
  <c r="A677" i="5"/>
  <c r="B677" i="5"/>
  <c r="F677" i="5" s="1"/>
  <c r="E678" i="5"/>
  <c r="A678" i="5" l="1"/>
  <c r="B678" i="5"/>
  <c r="F678" i="5" s="1"/>
  <c r="E679" i="5"/>
  <c r="H677" i="5"/>
  <c r="G677" i="5"/>
  <c r="A679" i="5" l="1"/>
  <c r="E680" i="5"/>
  <c r="B679" i="5"/>
  <c r="F679" i="5" s="1"/>
  <c r="H678" i="5"/>
  <c r="G678" i="5"/>
  <c r="A680" i="5" l="1"/>
  <c r="B680" i="5"/>
  <c r="F680" i="5" s="1"/>
  <c r="E681" i="5"/>
  <c r="H679" i="5"/>
  <c r="G679" i="5"/>
  <c r="G680" i="5" l="1"/>
  <c r="H680" i="5"/>
  <c r="A681" i="5"/>
  <c r="B681" i="5"/>
  <c r="F681" i="5" s="1"/>
  <c r="E682" i="5"/>
  <c r="H681" i="5" l="1"/>
  <c r="G681" i="5"/>
  <c r="A682" i="5"/>
  <c r="B682" i="5"/>
  <c r="F682" i="5" s="1"/>
  <c r="E683" i="5"/>
  <c r="A683" i="5" l="1"/>
  <c r="B683" i="5"/>
  <c r="F683" i="5" s="1"/>
  <c r="E684" i="5"/>
  <c r="H682" i="5"/>
  <c r="G682" i="5"/>
  <c r="G683" i="5" l="1"/>
  <c r="H683" i="5"/>
  <c r="A684" i="5"/>
  <c r="B684" i="5"/>
  <c r="F684" i="5" s="1"/>
  <c r="E685" i="5"/>
  <c r="A685" i="5" l="1"/>
  <c r="B685" i="5"/>
  <c r="F685" i="5" s="1"/>
  <c r="E686" i="5"/>
  <c r="G684" i="5"/>
  <c r="H684" i="5"/>
  <c r="H685" i="5" l="1"/>
  <c r="G685" i="5"/>
  <c r="A686" i="5"/>
  <c r="E687" i="5"/>
  <c r="B686" i="5"/>
  <c r="F686" i="5" s="1"/>
  <c r="G686" i="5" l="1"/>
  <c r="H686" i="5"/>
  <c r="A687" i="5"/>
  <c r="E688" i="5"/>
  <c r="B687" i="5"/>
  <c r="F687" i="5" s="1"/>
  <c r="G687" i="5" l="1"/>
  <c r="H687" i="5"/>
  <c r="A688" i="5"/>
  <c r="B688" i="5"/>
  <c r="F688" i="5" s="1"/>
  <c r="E689" i="5"/>
  <c r="H688" i="5" l="1"/>
  <c r="G688" i="5"/>
  <c r="A689" i="5"/>
  <c r="E690" i="5"/>
  <c r="B689" i="5"/>
  <c r="F689" i="5" s="1"/>
  <c r="G689" i="5" l="1"/>
  <c r="H689" i="5"/>
  <c r="A690" i="5"/>
  <c r="B690" i="5"/>
  <c r="F690" i="5" s="1"/>
  <c r="E691" i="5"/>
  <c r="A691" i="5" l="1"/>
  <c r="B691" i="5"/>
  <c r="F691" i="5" s="1"/>
  <c r="E692" i="5"/>
  <c r="G690" i="5"/>
  <c r="H690" i="5"/>
  <c r="H691" i="5" l="1"/>
  <c r="G691" i="5"/>
  <c r="A692" i="5"/>
  <c r="E693" i="5"/>
  <c r="B692" i="5"/>
  <c r="F692" i="5" s="1"/>
  <c r="H692" i="5" l="1"/>
  <c r="G692" i="5"/>
  <c r="A693" i="5"/>
  <c r="E694" i="5"/>
  <c r="B693" i="5"/>
  <c r="F693" i="5" s="1"/>
  <c r="G693" i="5" l="1"/>
  <c r="H693" i="5"/>
  <c r="A694" i="5"/>
  <c r="E695" i="5"/>
  <c r="B694" i="5"/>
  <c r="F694" i="5" s="1"/>
  <c r="G694" i="5" l="1"/>
  <c r="H694" i="5"/>
  <c r="A695" i="5"/>
  <c r="B695" i="5"/>
  <c r="F695" i="5" s="1"/>
  <c r="E696" i="5"/>
  <c r="A696" i="5" l="1"/>
  <c r="B696" i="5"/>
  <c r="F696" i="5" s="1"/>
  <c r="E697" i="5"/>
  <c r="G695" i="5"/>
  <c r="H695" i="5"/>
  <c r="H696" i="5" l="1"/>
  <c r="G696" i="5"/>
  <c r="A697" i="5"/>
  <c r="B697" i="5"/>
  <c r="F697" i="5" s="1"/>
  <c r="E698" i="5"/>
  <c r="A698" i="5" l="1"/>
  <c r="E699" i="5"/>
  <c r="B698" i="5"/>
  <c r="F698" i="5" s="1"/>
  <c r="H697" i="5"/>
  <c r="G697" i="5"/>
  <c r="G698" i="5" l="1"/>
  <c r="H698" i="5"/>
  <c r="A699" i="5"/>
  <c r="E700" i="5"/>
  <c r="B699" i="5"/>
  <c r="F699" i="5" s="1"/>
  <c r="G699" i="5" l="1"/>
  <c r="H699" i="5"/>
  <c r="A700" i="5"/>
  <c r="B700" i="5"/>
  <c r="F700" i="5" s="1"/>
  <c r="E701" i="5"/>
  <c r="A701" i="5" l="1"/>
  <c r="E702" i="5"/>
  <c r="B701" i="5"/>
  <c r="F701" i="5" s="1"/>
  <c r="G700" i="5"/>
  <c r="H700" i="5"/>
  <c r="G701" i="5" l="1"/>
  <c r="H701" i="5"/>
  <c r="A702" i="5"/>
  <c r="E703" i="5"/>
  <c r="B702" i="5"/>
  <c r="F702" i="5" s="1"/>
  <c r="G702" i="5" l="1"/>
  <c r="H702" i="5"/>
  <c r="A703" i="5"/>
  <c r="B703" i="5"/>
  <c r="F703" i="5" s="1"/>
  <c r="E704" i="5"/>
  <c r="A704" i="5" l="1"/>
  <c r="B704" i="5"/>
  <c r="F704" i="5" s="1"/>
  <c r="E705" i="5"/>
  <c r="G703" i="5"/>
  <c r="H703" i="5"/>
  <c r="H704" i="5" l="1"/>
  <c r="G704" i="5"/>
  <c r="A705" i="5"/>
  <c r="E706" i="5"/>
  <c r="B705" i="5"/>
  <c r="F705" i="5" s="1"/>
  <c r="G705" i="5" l="1"/>
  <c r="H705" i="5"/>
  <c r="A706" i="5"/>
  <c r="B706" i="5"/>
  <c r="F706" i="5" s="1"/>
  <c r="E707" i="5"/>
  <c r="G706" i="5" l="1"/>
  <c r="H706" i="5"/>
  <c r="A707" i="5"/>
  <c r="E708" i="5"/>
  <c r="B707" i="5"/>
  <c r="F707" i="5" s="1"/>
  <c r="H707" i="5" l="1"/>
  <c r="G707" i="5"/>
  <c r="A708" i="5"/>
  <c r="B708" i="5"/>
  <c r="F708" i="5" s="1"/>
  <c r="E709" i="5"/>
  <c r="G708" i="5" l="1"/>
  <c r="H708" i="5"/>
  <c r="A709" i="5"/>
  <c r="E710" i="5"/>
  <c r="B709" i="5"/>
  <c r="F709" i="5" s="1"/>
  <c r="G709" i="5" l="1"/>
  <c r="H709" i="5"/>
  <c r="A710" i="5"/>
  <c r="B710" i="5"/>
  <c r="F710" i="5" s="1"/>
  <c r="E711" i="5"/>
  <c r="A711" i="5" l="1"/>
  <c r="E712" i="5"/>
  <c r="B711" i="5"/>
  <c r="F711" i="5" s="1"/>
  <c r="G710" i="5"/>
  <c r="H710" i="5"/>
  <c r="H711" i="5" l="1"/>
  <c r="G711" i="5"/>
  <c r="A712" i="5"/>
  <c r="B712" i="5"/>
  <c r="F712" i="5" s="1"/>
  <c r="E713" i="5"/>
  <c r="G712" i="5" l="1"/>
  <c r="H712" i="5"/>
  <c r="A713" i="5"/>
  <c r="E714" i="5"/>
  <c r="B713" i="5"/>
  <c r="F713" i="5" s="1"/>
  <c r="A714" i="5" l="1"/>
  <c r="E715" i="5"/>
  <c r="B714" i="5"/>
  <c r="F714" i="5" s="1"/>
  <c r="H713" i="5"/>
  <c r="G713" i="5"/>
  <c r="H714" i="5" l="1"/>
  <c r="G714" i="5"/>
  <c r="A715" i="5"/>
  <c r="B715" i="5"/>
  <c r="F715" i="5" s="1"/>
  <c r="E716" i="5"/>
  <c r="G715" i="5" l="1"/>
  <c r="H715" i="5"/>
  <c r="A716" i="5"/>
  <c r="B716" i="5"/>
  <c r="F716" i="5" s="1"/>
  <c r="E717" i="5"/>
  <c r="G716" i="5" l="1"/>
  <c r="H716" i="5"/>
  <c r="A717" i="5"/>
  <c r="B717" i="5"/>
  <c r="F717" i="5" s="1"/>
  <c r="E718" i="5"/>
  <c r="A718" i="5" l="1"/>
  <c r="B718" i="5"/>
  <c r="F718" i="5" s="1"/>
  <c r="E719" i="5"/>
  <c r="G717" i="5"/>
  <c r="H717" i="5"/>
  <c r="G718" i="5" l="1"/>
  <c r="H718" i="5"/>
  <c r="A719" i="5"/>
  <c r="E720" i="5"/>
  <c r="B719" i="5"/>
  <c r="F719" i="5" s="1"/>
  <c r="H719" i="5" l="1"/>
  <c r="G719" i="5"/>
  <c r="A720" i="5"/>
  <c r="B720" i="5"/>
  <c r="F720" i="5" s="1"/>
  <c r="E721" i="5"/>
  <c r="A721" i="5" l="1"/>
  <c r="B721" i="5"/>
  <c r="F721" i="5" s="1"/>
  <c r="E722" i="5"/>
  <c r="H720" i="5"/>
  <c r="G720" i="5"/>
  <c r="G721" i="5" l="1"/>
  <c r="H721" i="5"/>
  <c r="A722" i="5"/>
  <c r="E723" i="5"/>
  <c r="B722" i="5"/>
  <c r="F722" i="5" s="1"/>
  <c r="H722" i="5" l="1"/>
  <c r="G722" i="5"/>
  <c r="A723" i="5"/>
  <c r="E724" i="5"/>
  <c r="B723" i="5"/>
  <c r="F723" i="5" s="1"/>
  <c r="H723" i="5" l="1"/>
  <c r="G723" i="5"/>
  <c r="A724" i="5"/>
  <c r="E725" i="5"/>
  <c r="B724" i="5"/>
  <c r="F724" i="5" s="1"/>
  <c r="H724" i="5" l="1"/>
  <c r="G724" i="5"/>
  <c r="A725" i="5"/>
  <c r="E726" i="5"/>
  <c r="B725" i="5"/>
  <c r="F725" i="5" s="1"/>
  <c r="H725" i="5" l="1"/>
  <c r="G725" i="5"/>
  <c r="A726" i="5"/>
  <c r="E727" i="5"/>
  <c r="B726" i="5"/>
  <c r="F726" i="5" s="1"/>
  <c r="H726" i="5" l="1"/>
  <c r="G726" i="5"/>
  <c r="A727" i="5"/>
  <c r="B727" i="5"/>
  <c r="F727" i="5" s="1"/>
  <c r="E728" i="5"/>
  <c r="A728" i="5" l="1"/>
  <c r="B728" i="5"/>
  <c r="F728" i="5" s="1"/>
  <c r="E729" i="5"/>
  <c r="G727" i="5"/>
  <c r="H727" i="5"/>
  <c r="G728" i="5" l="1"/>
  <c r="H728" i="5"/>
  <c r="A729" i="5"/>
  <c r="B729" i="5"/>
  <c r="F729" i="5" s="1"/>
  <c r="E730" i="5"/>
  <c r="A730" i="5" l="1"/>
  <c r="E731" i="5"/>
  <c r="B730" i="5"/>
  <c r="F730" i="5" s="1"/>
  <c r="H729" i="5"/>
  <c r="G729" i="5"/>
  <c r="A731" i="5" l="1"/>
  <c r="B731" i="5"/>
  <c r="F731" i="5" s="1"/>
  <c r="E732" i="5"/>
  <c r="H730" i="5"/>
  <c r="G730" i="5"/>
  <c r="G731" i="5" l="1"/>
  <c r="H731" i="5"/>
  <c r="A732" i="5"/>
  <c r="E733" i="5"/>
  <c r="B732" i="5"/>
  <c r="F732" i="5" s="1"/>
  <c r="H732" i="5" l="1"/>
  <c r="G732" i="5"/>
  <c r="A733" i="5"/>
  <c r="B733" i="5"/>
  <c r="F733" i="5" s="1"/>
  <c r="E734" i="5"/>
  <c r="G733" i="5" l="1"/>
  <c r="H733" i="5"/>
  <c r="A734" i="5"/>
  <c r="E735" i="5"/>
  <c r="B734" i="5"/>
  <c r="F734" i="5" s="1"/>
  <c r="H734" i="5" l="1"/>
  <c r="G734" i="5"/>
  <c r="A735" i="5"/>
  <c r="B735" i="5"/>
  <c r="F735" i="5" s="1"/>
  <c r="E736" i="5"/>
  <c r="G735" i="5" l="1"/>
  <c r="H735" i="5"/>
  <c r="A736" i="5"/>
  <c r="E737" i="5"/>
  <c r="B736" i="5"/>
  <c r="F736" i="5" s="1"/>
  <c r="G736" i="5" l="1"/>
  <c r="H736" i="5"/>
  <c r="A737" i="5"/>
  <c r="E738" i="5"/>
  <c r="B737" i="5"/>
  <c r="F737" i="5" s="1"/>
  <c r="G737" i="5" l="1"/>
  <c r="H737" i="5"/>
  <c r="A738" i="5"/>
  <c r="E739" i="5"/>
  <c r="B738" i="5"/>
  <c r="F738" i="5" s="1"/>
  <c r="A739" i="5" l="1"/>
  <c r="E740" i="5"/>
  <c r="B739" i="5"/>
  <c r="F739" i="5" s="1"/>
  <c r="H738" i="5"/>
  <c r="G738" i="5"/>
  <c r="G739" i="5" l="1"/>
  <c r="H739" i="5"/>
  <c r="A740" i="5"/>
  <c r="B740" i="5"/>
  <c r="F740" i="5" s="1"/>
  <c r="E741" i="5"/>
  <c r="G740" i="5" l="1"/>
  <c r="H740" i="5"/>
  <c r="A741" i="5"/>
  <c r="E742" i="5"/>
  <c r="B741" i="5"/>
  <c r="F741" i="5" s="1"/>
  <c r="G741" i="5" l="1"/>
  <c r="H741" i="5"/>
  <c r="A742" i="5"/>
  <c r="E743" i="5"/>
  <c r="B742" i="5"/>
  <c r="F742" i="5" s="1"/>
  <c r="H742" i="5" l="1"/>
  <c r="G742" i="5"/>
  <c r="A743" i="5"/>
  <c r="B743" i="5"/>
  <c r="F743" i="5" s="1"/>
  <c r="E744" i="5"/>
  <c r="A744" i="5" l="1"/>
  <c r="E745" i="5"/>
  <c r="B744" i="5"/>
  <c r="F744" i="5" s="1"/>
  <c r="G743" i="5"/>
  <c r="H743" i="5"/>
  <c r="H744" i="5" l="1"/>
  <c r="G744" i="5"/>
  <c r="A745" i="5"/>
  <c r="B745" i="5"/>
  <c r="F745" i="5" s="1"/>
  <c r="E746" i="5"/>
  <c r="A746" i="5" l="1"/>
  <c r="B746" i="5"/>
  <c r="F746" i="5" s="1"/>
  <c r="E747" i="5"/>
  <c r="H745" i="5"/>
  <c r="G745" i="5"/>
  <c r="H746" i="5" l="1"/>
  <c r="G746" i="5"/>
  <c r="A747" i="5"/>
  <c r="B747" i="5"/>
  <c r="F747" i="5" s="1"/>
  <c r="E748" i="5"/>
  <c r="A748" i="5" l="1"/>
  <c r="B748" i="5"/>
  <c r="F748" i="5" s="1"/>
  <c r="E749" i="5"/>
  <c r="H747" i="5"/>
  <c r="G747" i="5"/>
  <c r="G748" i="5" l="1"/>
  <c r="H748" i="5"/>
  <c r="A749" i="5"/>
  <c r="B749" i="5"/>
  <c r="F749" i="5" s="1"/>
  <c r="E750" i="5"/>
  <c r="A750" i="5" l="1"/>
  <c r="E751" i="5"/>
  <c r="B750" i="5"/>
  <c r="F750" i="5" s="1"/>
  <c r="H749" i="5"/>
  <c r="G749" i="5"/>
  <c r="H750" i="5" l="1"/>
  <c r="G750" i="5"/>
  <c r="B751" i="5"/>
  <c r="F751" i="5" s="1"/>
  <c r="A751" i="5"/>
  <c r="G751" i="5" l="1"/>
  <c r="H751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<sst xmlns="http://schemas.openxmlformats.org/spreadsheetml/2006/main" count="4321" uniqueCount="1556">
  <si>
    <t>Domingo 1º de Adviento</t>
  </si>
  <si>
    <t>Tiempo</t>
  </si>
  <si>
    <t>Isaías  2, 1-5</t>
  </si>
  <si>
    <t>Primera Lectura</t>
  </si>
  <si>
    <t>Salmo responsorial</t>
  </si>
  <si>
    <t>Segunda Lectura</t>
  </si>
  <si>
    <t>Sal 84,8</t>
  </si>
  <si>
    <t xml:space="preserve">Aleluya </t>
  </si>
  <si>
    <t>Evangelio</t>
  </si>
  <si>
    <t>Mateo 24, 37-44</t>
  </si>
  <si>
    <t>Romanos 13, 11-14a</t>
  </si>
  <si>
    <t>Salmo 121, 1-2. 4-5. 6-7. 8-9</t>
  </si>
  <si>
    <t>Isaías: 11, 1-10</t>
  </si>
  <si>
    <t>Domingo 2º de Adviento</t>
  </si>
  <si>
    <t>Salmo 71, 1-2. 7-8. 12-13. 17</t>
  </si>
  <si>
    <t>Romanos: 15, 4-9</t>
  </si>
  <si>
    <t>Lc 3,4.6</t>
  </si>
  <si>
    <t>Mateo: 3, 1-12</t>
  </si>
  <si>
    <t>Isaías 35, 1-6a. 10</t>
  </si>
  <si>
    <t>Domingo 3º de Adviento</t>
  </si>
  <si>
    <t>Salmo 145, 7. 8-9a. 9bc-10</t>
  </si>
  <si>
    <t>Santiago 5, 7-10</t>
  </si>
  <si>
    <t>Lc 4, 18</t>
  </si>
  <si>
    <t>Mateo 11, 2-11</t>
  </si>
  <si>
    <t>Domingo 4º de Adviento</t>
  </si>
  <si>
    <t>Isaías 7, 10-14</t>
  </si>
  <si>
    <t>Salmo 23, 1-2. 3-4ab. 5-6</t>
  </si>
  <si>
    <t>Romanos 1, 1-7</t>
  </si>
  <si>
    <t>Mt 1, 23</t>
  </si>
  <si>
    <t>Mateo 1, 18-24</t>
  </si>
  <si>
    <t>Ciclo</t>
  </si>
  <si>
    <t>A</t>
  </si>
  <si>
    <t>A,B,C</t>
  </si>
  <si>
    <t>Natividad del Señor - Misa de la vigilia</t>
  </si>
  <si>
    <t>Isaías 62, 1-5</t>
  </si>
  <si>
    <t>Salmo 88, 4-5. 16-17. 27 y 29</t>
  </si>
  <si>
    <t>Hechos de los apóstoles 13, 16-17. 22-25</t>
  </si>
  <si>
    <t>Mateo 1, 1-25</t>
  </si>
  <si>
    <t>Mañana quedará borrada la maldad de la tierra,
y será nuestro rey el Salvador del mundo</t>
  </si>
  <si>
    <t>Mateo 1, 18-25</t>
  </si>
  <si>
    <t>Natividad del Señor - Misa de medianoche</t>
  </si>
  <si>
    <t>Isaías 9, 1-3. 5-6</t>
  </si>
  <si>
    <t>Salmo 95, 1-2a. 2b-3. 11-12. 13</t>
  </si>
  <si>
    <t>Tito 2, 11-14</t>
  </si>
  <si>
    <t>Lc 2, 10-11</t>
  </si>
  <si>
    <t>Lucas 2, 1-14</t>
  </si>
  <si>
    <t>Natividad del Señor - Misa de la aurora</t>
  </si>
  <si>
    <t>Isaías 62, 11-12</t>
  </si>
  <si>
    <t>Salmo 96, 1 y 6. 11-12</t>
  </si>
  <si>
    <t>Pablo a Tito 3, 4-7</t>
  </si>
  <si>
    <t>Lc 2, 14</t>
  </si>
  <si>
    <t>Lucas 2, 15-20</t>
  </si>
  <si>
    <t>Natividad del Señor - Misa del día</t>
  </si>
  <si>
    <t>Isaías 52, 7-10</t>
  </si>
  <si>
    <t>Salmo 97, 1. 2-3ab. 3cd-4. 5-6</t>
  </si>
  <si>
    <t>Hebreos 1, 1-6</t>
  </si>
  <si>
    <t>Nos ha amanecido un día sagrado;
venid, naciones, adorad al Señor,
porque hoy una gran luz ha bajado a la tierra.</t>
  </si>
  <si>
    <t>Juan 1, 1-18</t>
  </si>
  <si>
    <t>Juan 1, 1-5. 9-14</t>
  </si>
  <si>
    <t>La Sagrada Familia</t>
  </si>
  <si>
    <t>Sirácida 3, 2-6. 12-14</t>
  </si>
  <si>
    <t>Salmo 127, 1-2. 3. 4-5</t>
  </si>
  <si>
    <t>Colosenses 3, 12-21</t>
  </si>
  <si>
    <t>Col 3, 15a. 16a</t>
  </si>
  <si>
    <t>Mateo 2, 13-15. 19-23</t>
  </si>
  <si>
    <t>Números 6, 22-27</t>
  </si>
  <si>
    <t>1 Enero</t>
  </si>
  <si>
    <t>Santa María Madre de Dios</t>
  </si>
  <si>
    <t>Salmo 66, 2-3. 5. 6 y 8</t>
  </si>
  <si>
    <t>Gálatas 4, 4-7</t>
  </si>
  <si>
    <t>Hb 1, 1-2</t>
  </si>
  <si>
    <t>Lucas 2, 16-21</t>
  </si>
  <si>
    <t>2º Domingo después de Navidad</t>
  </si>
  <si>
    <t>Sirácida 24. 1-2. 8-12</t>
  </si>
  <si>
    <t>Salmo 147, 12-13. 14-15. 19-20</t>
  </si>
  <si>
    <t>Efesios 1, 3-6. 15-18</t>
  </si>
  <si>
    <t>1Tm 3, 16</t>
  </si>
  <si>
    <t>Epifanía del Señor</t>
  </si>
  <si>
    <t>A,B,C 6 Enero</t>
  </si>
  <si>
    <t>Isaías 60, 1-6</t>
  </si>
  <si>
    <t>Salmo 71, 1-2. 7-8. 10-11. 12-13</t>
  </si>
  <si>
    <t>Efesios 3, 2-3a. 5-6</t>
  </si>
  <si>
    <t>Mateo 2, 1-12</t>
  </si>
  <si>
    <t>El Bautismo del Señor</t>
  </si>
  <si>
    <t>Isaías 42, 1-4. 6-7</t>
  </si>
  <si>
    <t>Salmo 28, 1a y 2. 3ac-4. 3b y 9b-10</t>
  </si>
  <si>
    <t>Hechos de los apóstoles 10, 34-38</t>
  </si>
  <si>
    <t>Mc 9, 7</t>
  </si>
  <si>
    <t>Mateo 3, 13-17</t>
  </si>
  <si>
    <t>Primer domingo de Cuaresma</t>
  </si>
  <si>
    <t>Génesis 2, 7-9; 3, 1-7</t>
  </si>
  <si>
    <t>Salmo 50, 3-4. 5-6a. 12-13. 14 y 17</t>
  </si>
  <si>
    <t>Romanos 5, 12-19 / Romanos 5, 12. 17-19</t>
  </si>
  <si>
    <t>My 2, 2</t>
  </si>
  <si>
    <t>Mt 4, 4</t>
  </si>
  <si>
    <t>Mateo 4, 1-11</t>
  </si>
  <si>
    <t>Segundo domingo de Cuaresma</t>
  </si>
  <si>
    <t>Génesis 12, 1-4</t>
  </si>
  <si>
    <t>Salmo 32, 4-5. 18-19. 20 y 22</t>
  </si>
  <si>
    <t>Timoteo 1, 8b-10</t>
  </si>
  <si>
    <t>En el esplendor de la nube se oyó la voz del Padre:
«Éste es mi Hijo, el amado; escuchadlo».</t>
  </si>
  <si>
    <t>Mateo 17, 1-9</t>
  </si>
  <si>
    <t>Tercer domingo de Cuaresma</t>
  </si>
  <si>
    <t>Éxodo 17, 3-7</t>
  </si>
  <si>
    <t>Salmo 94, 1-2. 6-7. 8-9</t>
  </si>
  <si>
    <t>Romanos 5, 1-2. 5-8</t>
  </si>
  <si>
    <t>Jn 4, 42. 15</t>
  </si>
  <si>
    <t>Juan 4, 5-42</t>
  </si>
  <si>
    <t>Juan 4, 5-15. 19b-26. 39a. 40-42</t>
  </si>
  <si>
    <t>Cuarto domingo de Cuaresma</t>
  </si>
  <si>
    <t>Samuel 16, 1b. 6-7. 10-13a</t>
  </si>
  <si>
    <t>Salmo 22, 1-3a. 3b-4. 5. 6</t>
  </si>
  <si>
    <t>Efesios 5, 8-14</t>
  </si>
  <si>
    <t>Jn 8,2b</t>
  </si>
  <si>
    <t>Juan 9, 1-41</t>
  </si>
  <si>
    <t>Juan 9, 1. 6-9. 13-17. 34-38</t>
  </si>
  <si>
    <t>Quinto domingo de Cuaresma</t>
  </si>
  <si>
    <t>Ezequiel 37, 12-14</t>
  </si>
  <si>
    <t>Salmo 129, 1-2. 3-4ab. 4c-6. 7-8</t>
  </si>
  <si>
    <t>Romanos 8, 8-11</t>
  </si>
  <si>
    <t>Jn 11, 25a. 26</t>
  </si>
  <si>
    <t>Juan 11, 1-45</t>
  </si>
  <si>
    <t>Juan 11, 3-7. 17. 20-27. 33b-45</t>
  </si>
  <si>
    <t>Domingo de ramos</t>
  </si>
  <si>
    <t>Mateo 21, 1-11        Isaías 50, 4-7</t>
  </si>
  <si>
    <t>Salmo 21, 8-9. 17-18a. 19-20. 23-24</t>
  </si>
  <si>
    <t>Filipenses 2, 6-11</t>
  </si>
  <si>
    <t>Flp 2, 8-9</t>
  </si>
  <si>
    <t>Mateo 26, 14—27, 66</t>
  </si>
  <si>
    <t>Jueves santo</t>
  </si>
  <si>
    <t>Éxodo 12, 1-8. 11-14</t>
  </si>
  <si>
    <t>Salmo 115, 12-13. 15-16bc. 17-18</t>
  </si>
  <si>
    <t>Corintios 11, 23-26</t>
  </si>
  <si>
    <t>Jn 13, 34</t>
  </si>
  <si>
    <t>Juan 13, 1-15</t>
  </si>
  <si>
    <t>Viernes santo</t>
  </si>
  <si>
    <t>Isaías 52, 13—53, 12</t>
  </si>
  <si>
    <t>Salmo 30, 2 y 6. 12-13. 15-16. 17 y 25</t>
  </si>
  <si>
    <t>Hebreos 4, 14-16; 5, 7-9</t>
  </si>
  <si>
    <t>Juan 18, 1—19, 42</t>
  </si>
  <si>
    <t>Vigilia Pascual</t>
  </si>
  <si>
    <t>1
Génesis 1, 1—2, 2 / Génesis 1, 1. 26-31a
Salmo 103, 1-2a. 5-6. 10 y 12. 13-14. 24 y 35a / Salmo 32, 4-5. 6-7. 12-13. 20 y 22
2
Génesis 22, 1-18 / Génesis 22, 1-2. 9a. 10-13. 15-18
Salmo 15, 5 y 8. 9-10. 11
3
Éxodo 14, 15—15, 1 / 
Salmo Éxodo 15, 1-2. 3-4. 5-6. 17-18
4
Isaías 54, 5-14
Salmo  29, 2 y 4. 5-6. 11 y 12a y 13b
5
Isaías 55, 1-11
salmo Isaías 12, 2-3. 4. 5-6
6
Baruc 3, 9-15. 32—4,4
Salmo 18, 8. 9. 10, 11
7
Ezequiel 36, 16-28
Salmo 41, 3. 5bcd; 42, 3. 4 / Isaías 12, 2-3. 4. 5-6 / Salmo 50, 12-13. 14-15. 18-19
8
Romanos 6, 3-11
Salmo 117, 1-2. 16ab-17. 22-23
Ev.
Mateo 28, 1-10</t>
  </si>
  <si>
    <t>Domingo de Pascua</t>
  </si>
  <si>
    <t>Hechos de los apóstoles 10, 34a. 37-43</t>
  </si>
  <si>
    <t>Salmo 117, 1-2. 16ab-17. 22-23</t>
  </si>
  <si>
    <t>Colosenses 3, 1-4 / Corintios 5, 6b-8</t>
  </si>
  <si>
    <t>1Cor 5, 7b-8a</t>
  </si>
  <si>
    <t>Juan 20, 1-9</t>
  </si>
  <si>
    <t>Segundo domingo de Pascua</t>
  </si>
  <si>
    <t>Hechos de los apóstoles 2, 42-47</t>
  </si>
  <si>
    <t>Salmo 117, 2-4. 13-15. 22-24</t>
  </si>
  <si>
    <t>Jn 20, 29</t>
  </si>
  <si>
    <t>Juan 20, 19-31</t>
  </si>
  <si>
    <t>Hechos de los apóstoles 2, 14. 22-33</t>
  </si>
  <si>
    <t>Salmo 15, 1-2a y 5. 7-8. 9-10. 11</t>
  </si>
  <si>
    <t>Tercer domingo de Pascua</t>
  </si>
  <si>
    <t>Pedro 1, 17-21</t>
  </si>
  <si>
    <t>Pedro: 1, 3-9</t>
  </si>
  <si>
    <t>Lc 24, 32</t>
  </si>
  <si>
    <t>Lucas 24, 13-35</t>
  </si>
  <si>
    <t>Cuarto domingo de Pascua</t>
  </si>
  <si>
    <t>Hechos de los apóstoles 2, 14a. 36-41</t>
  </si>
  <si>
    <t>Pedro 2, 20b-25</t>
  </si>
  <si>
    <t>Jn 10, 14</t>
  </si>
  <si>
    <t>Juan 10, 1-10</t>
  </si>
  <si>
    <t>Quinto domingo de Pascua</t>
  </si>
  <si>
    <t>Hechos de los apóstoles 6, 1-7</t>
  </si>
  <si>
    <t>Salmo 32, 1-2. 4-5. 18-19</t>
  </si>
  <si>
    <t>Pedro 2, 4-9</t>
  </si>
  <si>
    <t>Jn 14, 6</t>
  </si>
  <si>
    <t>Juan 14, 1-12</t>
  </si>
  <si>
    <t>Sexto domingo de Pascua</t>
  </si>
  <si>
    <t>Hechos de los apóstoles 8, 5-8. 14-17</t>
  </si>
  <si>
    <t>Salmo 65, 1-3a. 4-5. 6-7a. 16 y 20</t>
  </si>
  <si>
    <t>Pedro 3, 15-18</t>
  </si>
  <si>
    <t>Jn 14, 23</t>
  </si>
  <si>
    <t>Juan 14, 15-21</t>
  </si>
  <si>
    <t>Pedro 4, 13-16</t>
  </si>
  <si>
    <t>Séptimo domingo de Pascua</t>
  </si>
  <si>
    <t>Jn 14, 18</t>
  </si>
  <si>
    <t>La Ascensión del Señor</t>
  </si>
  <si>
    <t>Hechos de los apóstoles 1, 1-11</t>
  </si>
  <si>
    <t>Salmo 46, 2-3. 6-7. 8-9</t>
  </si>
  <si>
    <t>Efesios 1, 17-23</t>
  </si>
  <si>
    <t>Mt 28, 19.20</t>
  </si>
  <si>
    <t>Mateo 28, 16-20</t>
  </si>
  <si>
    <t>Hechos de los apóstoles 1, 12-14</t>
  </si>
  <si>
    <t>Salmo 26, 1. 4. 7-8</t>
  </si>
  <si>
    <t>Juan 17, 1-11</t>
  </si>
  <si>
    <t>Génesis 11, 1-9 / Éxodo 19, 3-8a. 16-20b / Ezequiel 37, 1-14 / Joel 3, 1-5</t>
  </si>
  <si>
    <t>Romanos 8, 22-27</t>
  </si>
  <si>
    <t>Salmo 103, 1-2a. 24. 27-28. 29bc-30</t>
  </si>
  <si>
    <t>Juan 7, 37-39</t>
  </si>
  <si>
    <t>Ven, Espíritu Santo,
llena los corazones de tus fieles
y enciende en ellos la llama de tu amor</t>
  </si>
  <si>
    <t>Domingo de Pentecostés - Vigilia</t>
  </si>
  <si>
    <t>Domingo de Pentecostés - Misa del día</t>
  </si>
  <si>
    <t>Hechos de los apóstoles: 2, 1-11</t>
  </si>
  <si>
    <t>Salmo 103, 1ab y 24ac. 29bc-30. 31 y 34</t>
  </si>
  <si>
    <t>Corintios 12, 3b-7. 12-13</t>
  </si>
  <si>
    <t>Juan 20, 19-23</t>
  </si>
  <si>
    <t>Ven, Espíritu Santo,
llena los corazones de tus fieles
y enciende en ellos la llama de tu amor.</t>
  </si>
  <si>
    <t>La Santísima Trinidad</t>
  </si>
  <si>
    <t>Éxodo: 34, 4b-6. 8-9</t>
  </si>
  <si>
    <t>Daniel 3, 52. 53. 54. 55. 56</t>
  </si>
  <si>
    <t>Corintios 13, 11-13</t>
  </si>
  <si>
    <t>Ap 1, 8</t>
  </si>
  <si>
    <t>Juan 3,1 6-18</t>
  </si>
  <si>
    <t>Deuteronomio 8, 2-3. 14b-16a</t>
  </si>
  <si>
    <t>Santísimo Cuerpo y Sangre de Cristo</t>
  </si>
  <si>
    <t>Domingo después de la Santísima Trinidad</t>
  </si>
  <si>
    <t>Corintios 10, 16-17</t>
  </si>
  <si>
    <t>Jn 6, 51</t>
  </si>
  <si>
    <t>Juan 6, 51-58</t>
  </si>
  <si>
    <t>El sagrado Corazón de Jesús</t>
  </si>
  <si>
    <t>Viernes posterior al segundo domingo después de Pentecostés</t>
  </si>
  <si>
    <t>Deuteronomio 7, 6-11</t>
  </si>
  <si>
    <t>Salmo 102. 1-2. 3-4. 6-7. 8 y 10</t>
  </si>
  <si>
    <t>Juan 4, 7-16</t>
  </si>
  <si>
    <t>Mt 11, 29ab</t>
  </si>
  <si>
    <t>Mateo 11, 25-30</t>
  </si>
  <si>
    <t>Domingo de la 2ª semana de Tiempo Ordinario</t>
  </si>
  <si>
    <t>Lectura del libro de Isaías 49, 3. 5-6</t>
  </si>
  <si>
    <t>Salmo responsorial: Salmo 39, 2 y 4ab, 7-8a. 8b-9. 10 (R.: 8a y 9a)</t>
  </si>
  <si>
    <t>Comienzo de la primera carta del apóstol san Pablo a los Corintios 1, 1-3</t>
  </si>
  <si>
    <t>Aleluya Jn 1, 14. 12b</t>
  </si>
  <si>
    <t>Domingo de la 3ª semana de Tiempo Ordinario</t>
  </si>
  <si>
    <t>Lectura del libro de Isaías 8, 23b—9, 3</t>
  </si>
  <si>
    <t>Salmo responsorial: Salmo 26, 1. 4. 13-14 (R.: 1a)</t>
  </si>
  <si>
    <t>Lectura de la primera carta del apóstol san Pablo a los Corintios 1, 10-13. 17</t>
  </si>
  <si>
    <t>Aleluya Mt 4, 23</t>
  </si>
  <si>
    <t>Juan 1, 29-34</t>
  </si>
  <si>
    <t>Mateo 4, 12-23</t>
  </si>
  <si>
    <t>Mateo 4, 12-17</t>
  </si>
  <si>
    <t>Domingo de la 4ª semana de Tiempo Ordinario</t>
  </si>
  <si>
    <t>Lectura de la profecía de Sofonías 2, 3; 3, 12-13</t>
  </si>
  <si>
    <t>Salmo responsorial: Salmo 145, 7. 8-9a. 9bc-10 (R.: Mt 5, 13)</t>
  </si>
  <si>
    <t>Lectura de la primera carta del apóstol san Pablo a los Corintios 1, 26-31</t>
  </si>
  <si>
    <t>Aleluya Mt 5, 12a</t>
  </si>
  <si>
    <t>Domingo de la 5ª semana de Tiempo Ordinario</t>
  </si>
  <si>
    <t>Lectura del libro de Isaías 58, 7-10</t>
  </si>
  <si>
    <t>Salmo responsorial: Salmo 111, 4-5. 6-7. 8a y 9 (R.: 4a)</t>
  </si>
  <si>
    <t>Lectura de la primera carta del apóstol san Pablo a los Corintios 2, 1-5</t>
  </si>
  <si>
    <t>Aleluya Jn 8, 12b</t>
  </si>
  <si>
    <t>Domingo de la 6ª semana de Tiempo Ordinario</t>
  </si>
  <si>
    <t>Lectura del libro de Sirácida 15, 16-21</t>
  </si>
  <si>
    <t>Salmo responsorial: Salmo 118, 1-2. 4-5. 17-18. 33-34 (R.: 1b)</t>
  </si>
  <si>
    <t>Lectura de la primera carta del apóstol san Pablo a los Corintios 2, 6-10</t>
  </si>
  <si>
    <t>Aleluya Mt 11, 25</t>
  </si>
  <si>
    <t>Domingo de la 7ª semana de Tiempo Ordinario</t>
  </si>
  <si>
    <t>Lectura del libro del Levítico  19, 1-2. 17-18</t>
  </si>
  <si>
    <t>Salmo responsorial: Salmo 102, 1-2. 3-4. 8 y 10. 12-13 (R.: 8a)</t>
  </si>
  <si>
    <t>Lectura de la primera carta del apóstol san Pablo a los Corintios 3, 16-23</t>
  </si>
  <si>
    <t>Aleluya 1Jn 2, 5</t>
  </si>
  <si>
    <t>Domingo de la 8ª semana de Tiempo Ordinario</t>
  </si>
  <si>
    <t>Lectura del libro de Isaías 49, 14-15</t>
  </si>
  <si>
    <t>Salmo responsorial: 61, 2-3. 6-7. 8-9ab (R.: 6a)</t>
  </si>
  <si>
    <t>Lectura de la primera carta del apóstol san Pablo a los Corintios 4, 1-5</t>
  </si>
  <si>
    <t>Aleluya Hb 4, 12</t>
  </si>
  <si>
    <t>Domingo de la 9ª semana de Tiempo Ordinario</t>
  </si>
  <si>
    <t>Lectura del libro del Deuteronomio 11, 18. 26-28. 32</t>
  </si>
  <si>
    <t>Salmo responsorial: Salmo 30, 2-3a. 3bc-4. 17 y 25 (R.: 3b)</t>
  </si>
  <si>
    <t>Lectura de la carta del apóstol san Pablo a los Romanos 3, 21-25a. 28</t>
  </si>
  <si>
    <t>Aleluya Jn 15, 5</t>
  </si>
  <si>
    <t>Domingo de la 10ª semana de Tiempo Ordinario</t>
  </si>
  <si>
    <t>Lectura de la profecía de Oseas 6, 3-6</t>
  </si>
  <si>
    <t>Salmo responsorial: Salmo 49, 1 y 8. 12-13. 14-15 (R.: 23b)</t>
  </si>
  <si>
    <t>Lectura de la carta del apóstol san Pablo a los Romanos 4, 18-25</t>
  </si>
  <si>
    <t>Aleluya Lc 4, 18</t>
  </si>
  <si>
    <t>Domingo de la 11ª semana de Tiempo Ordinario</t>
  </si>
  <si>
    <t>Lectura del libro del Éxodo 19, 2-6a</t>
  </si>
  <si>
    <t>Salmo responsorial: Salmo 99, 2. 3. 5 (R.: 3c)</t>
  </si>
  <si>
    <t>Lectura de la carta del apóstol san Pablo a los Romanos 5, 6-11</t>
  </si>
  <si>
    <t>Aleluya Mc 1, 15</t>
  </si>
  <si>
    <t>Domingo de la 12ª semana de Tiempo Ordinario</t>
  </si>
  <si>
    <t>Lectura del libro de Jeremías 20, 10-13</t>
  </si>
  <si>
    <t>Salmo responsorial: Salmo 68, 8-10. 14 y 17. 33-35 (R.: 14c)</t>
  </si>
  <si>
    <t>Lectura de la carta del apóstol san Pablo a los Romanos 5, 12-15</t>
  </si>
  <si>
    <t>Aleluya Jn 15, 26b. 27a</t>
  </si>
  <si>
    <t>Domingo de la 13ª semana de Tiempo Ordinario</t>
  </si>
  <si>
    <t>Lectura del segundo libro de los Reyes 4, 8-11. 14-16a</t>
  </si>
  <si>
    <t>Salmo responsorial: Salmo 88, 2-3. 16-17. 18-19 (R.: 2a)</t>
  </si>
  <si>
    <t>Lectura de la carta del apóstol san Pablo a los Romanos 6, 3-4. 8-11</t>
  </si>
  <si>
    <t>Aleluya 1P 2, 9</t>
  </si>
  <si>
    <t>Domingo de la 14ª semana de Tiempo Ordinario</t>
  </si>
  <si>
    <t>Lectura de la profecía de Zacarías 9, 9-10</t>
  </si>
  <si>
    <t>Salmo responsorial: Salmo 144, 1-2. 8-9. 10-11. 13cd-14 (R.: cf. 1)</t>
  </si>
  <si>
    <t>Lectura de la carta del apóstol san Pablo a los Romanos 8, 9. 11-13</t>
  </si>
  <si>
    <t>Aleluya Cf. Mt 11, 25</t>
  </si>
  <si>
    <t>Lectura del libro de Isaías 55, 10-11</t>
  </si>
  <si>
    <t>Salmo responsorial: Salmo 64, 10. 11. 12-13. 14 (R.: Lc 8, 8)</t>
  </si>
  <si>
    <t>Lectura de la carta del apóstol san Pablo a los Romanos 8, 18-23</t>
  </si>
  <si>
    <t>La semilla es la palabra de Dios, el sembrador es Cristo;
quien lo encuentra vive para siempre.</t>
  </si>
  <si>
    <t>Lectura del libro de la Sabiduría: 12, 13. 16-19</t>
  </si>
  <si>
    <t>Salmo responsorial: Salmo 85, 5-6. 9-10. 15-16a (R.: 5a)</t>
  </si>
  <si>
    <t>Lectura de la carta del apóstol san Pablo a los Romanos 8, 26-27</t>
  </si>
  <si>
    <t>Lectura del primer libro de los Reyes 3, 5. 7-12</t>
  </si>
  <si>
    <t>Salmo responsorial: Salmo 118, 57 y 72. 76-77. 127-128. 129-130 (R.: 97a)</t>
  </si>
  <si>
    <t>Lectura de la carta del apóstol san Pablo a los Romanos 8, 28-30</t>
  </si>
  <si>
    <t>Lectura del libro de Isaías 55, 1-3</t>
  </si>
  <si>
    <t>Salmo responsorial: Salmo 144, 8-9. 15-16. 17-18 (R.: cf. 16)</t>
  </si>
  <si>
    <t>Lectura de la carta del apóstol san Pablo a los Romanos 8, 35. 37-39</t>
  </si>
  <si>
    <t>Aleluya Mt 4, 4b</t>
  </si>
  <si>
    <t>Lectura del primer libro de los Reyes 19, 9a. 11-13a</t>
  </si>
  <si>
    <t>Salmo responsorial: Salmo 84, 9ab-10. 11-12. 13-14 (R.: 8)</t>
  </si>
  <si>
    <t>Lectura de la carta del apóstol san Pablo a los Romanos 9, 1-5</t>
  </si>
  <si>
    <t>Aleluya Cf. Sal 129, 5</t>
  </si>
  <si>
    <t>Lectura del libro de Isaías 56, 1. 6-7</t>
  </si>
  <si>
    <t>Salmo responsorial: Salmo 66, 2-3. 5. 6 y 8 (R.: 4)</t>
  </si>
  <si>
    <t>Lectura de la carta del apóstol san Pablo a los Romanos 11, 13-15. 29-32</t>
  </si>
  <si>
    <t>Lectura del libro de Isaías 22, 19-23</t>
  </si>
  <si>
    <t>Salmo responsorial: Salmo 137, 1-2a. 2bc-3. 6 y 8bc (R.: 8bc)</t>
  </si>
  <si>
    <t>Lectura de la carta del apóstol san Pablo a los Romanos 11, 33-36</t>
  </si>
  <si>
    <t>Aleluya Mt 16, 18</t>
  </si>
  <si>
    <t>Lectura del libro de Jeremías 20, 7-9</t>
  </si>
  <si>
    <t>Salmo responsorial: Salmo 62, 2. 3-4. 5-6. 8-9 (R.:2b)</t>
  </si>
  <si>
    <t>Lectura de la carta del apóstol san Pablo a los Romanos 12, 1-2</t>
  </si>
  <si>
    <t>Aleluya Cf. Ef 1, 17-18</t>
  </si>
  <si>
    <t>Lectura de la profecía de Ezequiel 33, 7-9</t>
  </si>
  <si>
    <t>Salmo responsorial: Salmo 94, 1-2. 6-7. 8-9 (R.: 8)</t>
  </si>
  <si>
    <t>Lectura de la carta del apóstol san Pablo a los Romanos 13, 8-10</t>
  </si>
  <si>
    <t>Aleluya 2Co 5, 19</t>
  </si>
  <si>
    <t>Lectura del libro de Sirácida 27, 33—28, 9</t>
  </si>
  <si>
    <t>Salmo responsorial: Salmo 102, 1-2. 3-4. 9-10. 11-12 (R.: 8)</t>
  </si>
  <si>
    <t>Lectura de la carta del apóstol san Pablo a los Romanos 14, 7-9</t>
  </si>
  <si>
    <t>Aleluya Jn 13, 34</t>
  </si>
  <si>
    <t>Lectura del libro de Isaías 55, 6-9</t>
  </si>
  <si>
    <t>Salmo responsorial: Salmo 144, 2-3. 8-9. 17-18 (R.: 18a)</t>
  </si>
  <si>
    <t>Lectura de la carta del apóstol san Pablo a los Filipenses 1, 20c-24. 27a</t>
  </si>
  <si>
    <t>Aleluya Cf. Hch 16, 14b</t>
  </si>
  <si>
    <t>Lectura de la profecía de Ezequiel 18, 25-28</t>
  </si>
  <si>
    <t>Salmo responsorial: Salmo 24, 4bc-5. 6-7. 8-9 (R.: 6a)</t>
  </si>
  <si>
    <t xml:space="preserve">Lectura de la carta del apóstol san Pablo a los Filipenses 2, 1-11 / Lectura de la carta del apóstol san Pablo a los Filipenses 2, 1-5
</t>
  </si>
  <si>
    <t>Aleluya Jn 10, 27</t>
  </si>
  <si>
    <t>Lectura del libro de Isaías: 5, 1-7</t>
  </si>
  <si>
    <t>Salmo responsorial: Salmo 79, 9 y 12. 13-14. 15-16. 19-20 (R.: Is 5,71)</t>
  </si>
  <si>
    <t>Lectura de la carta del apóstol san Pablo a los Filipenses 4, 6-9</t>
  </si>
  <si>
    <t>Aleluya Cf. Jn 15, 16</t>
  </si>
  <si>
    <t>Lectura del libro de Isaías 25, 6-10a</t>
  </si>
  <si>
    <t>Salmo responsorial: Salmo 22, 1-3a. 3b-4. 5. 6 (R.: 6cd)</t>
  </si>
  <si>
    <t>Lectura de la carta del apóstol san Pablo a los Filipenses 4, 12-14. 19-20</t>
  </si>
  <si>
    <t>Lectura del libro de Isaías 45, 1. 4-6</t>
  </si>
  <si>
    <t>Salmo responsorial: Salmo 95, 1 y 3. 4-5. 7-8. 9-10a y c (R.: 7b)</t>
  </si>
  <si>
    <t>Lectura de la primera carta del apóstol san Pablo a los Tesalonicenses 1, 1-5b</t>
  </si>
  <si>
    <t>Aleluya Flp 2, 15d. 16a</t>
  </si>
  <si>
    <t>Lectura del libro del Éxodo 22, 20-26</t>
  </si>
  <si>
    <t>Salmo responsorial: Salmo 17, 2-3a. 3bc-4. 47 y 51ab (R.: 2)</t>
  </si>
  <si>
    <t>Lectura de la primera carta del apóstol san Pablo a los Tesalonicenses 1, 5c-10</t>
  </si>
  <si>
    <t>Aleluya Jn 14, 23</t>
  </si>
  <si>
    <t>Lectura de la profecía de Malaquías 1, 14b—2, 2b. 8-10</t>
  </si>
  <si>
    <t>Salmo responsorial: Salmo 130, 1. 2. 3</t>
  </si>
  <si>
    <t>Lectura de la primera carta del apóstol san Pablo a los Tesalonicenses 2, 7b-9. 13</t>
  </si>
  <si>
    <t>Aleluya Mt 23, 9b. 10b</t>
  </si>
  <si>
    <t>Lectura del libro de la Sabiduría 6, 12-16</t>
  </si>
  <si>
    <t>Salmo responsorial: Salmo 62, 2. 3-4. 5-6. 7-8 (R.: 2b)</t>
  </si>
  <si>
    <t>Lectura de la primera carta del apóstol san Pablo a los Tesalonicenses 4, 13-18</t>
  </si>
  <si>
    <t>Aleluya Mt 24, 42a. 44</t>
  </si>
  <si>
    <t>Lectura del libro de los Proverbios 31, 10-13. 19-20. 30-31</t>
  </si>
  <si>
    <t>Salmo responsorial: Salmo 127, 1-2. 3. 4-5 (R.: 1a)</t>
  </si>
  <si>
    <t>Lectura de la primera carta del apóstol san Pablo a los Tesalonicenses 5, 1-6</t>
  </si>
  <si>
    <t>Aleluya Jn 15, 4a. 5b</t>
  </si>
  <si>
    <t>Lectura de la profecía de Ezequiel 34, 11-12. 15-17</t>
  </si>
  <si>
    <t>Salmo responsorial: 22, 1-2a. 2b-3. 5-6 (R.: 1)</t>
  </si>
  <si>
    <t>Lectura de la primera carta del apóstol san Pablo a los Corintios 15, 20-26. 28</t>
  </si>
  <si>
    <t>Aleluya Mc 11, 9b-10a</t>
  </si>
  <si>
    <t>Domingo de la 15ª semana de Tiempo Ordinario</t>
  </si>
  <si>
    <t>Domingo de la 16ª semana de Tiempo Ordinario</t>
  </si>
  <si>
    <t>Domingo de la 17ª semana de Tiempo Ordinario</t>
  </si>
  <si>
    <t>Domingo de la 18ª semana de Tiempo Ordinario</t>
  </si>
  <si>
    <t>Domingo de la 19ª semana de Tiempo Ordinario</t>
  </si>
  <si>
    <t>Domingo de la 20ª semana de Tiempo Ordinario</t>
  </si>
  <si>
    <t>Domingo de la 21ª semana de Tiempo Ordinario</t>
  </si>
  <si>
    <t>Domingo de la 22ª semana de Tiempo Ordinario</t>
  </si>
  <si>
    <t>Domingo de la 23ª semana de Tiempo Ordinario</t>
  </si>
  <si>
    <t>Domingo de la 24ª semana de Tiempo Ordinario</t>
  </si>
  <si>
    <t>Domingo de la 25ª semana de Tiempo Ordinario</t>
  </si>
  <si>
    <t>Domingo de la 26ª semana de Tiempo Ordinario</t>
  </si>
  <si>
    <t>Domingo de la 27ª semana de Tiempo Ordinario</t>
  </si>
  <si>
    <t>Domingo de la 28ª semana de Tiempo Ordinario</t>
  </si>
  <si>
    <t>Domingo de la 29ª semana de Tiempo Ordinario</t>
  </si>
  <si>
    <t>Domingo de la 30ª semana de Tiempo Ordinario</t>
  </si>
  <si>
    <t>Domingo de la 31ª semana de Tiempo Ordinario</t>
  </si>
  <si>
    <t>Domingo de la 32ª semana de Tiempo Ordinario</t>
  </si>
  <si>
    <t>Domingo de la 33ª semana de Tiempo Ordinario</t>
  </si>
  <si>
    <t>Domingo de la 34ª semana de Tiempo Ordinario</t>
  </si>
  <si>
    <t>Mateo 5, 1-12a</t>
  </si>
  <si>
    <t>Mateo 5, 13-16</t>
  </si>
  <si>
    <t>Mateo 5, 17-37</t>
  </si>
  <si>
    <t>Mateo 5, 20-22a. 27-28. 33-34a. 37</t>
  </si>
  <si>
    <t>Mateo 5, 38-48</t>
  </si>
  <si>
    <t>Mateo 6, 24-34</t>
  </si>
  <si>
    <t>Mateo 7, 21-27</t>
  </si>
  <si>
    <t>Mateo 9, 9-13</t>
  </si>
  <si>
    <t>Mateo 9, 36—10, 8</t>
  </si>
  <si>
    <t>Mateo 10, 26-33</t>
  </si>
  <si>
    <t>Mateo 10, 37-42</t>
  </si>
  <si>
    <t>Mateo 13, 1-23</t>
  </si>
  <si>
    <t>Mateo 13, 1-9</t>
  </si>
  <si>
    <t>Mateo 13, 24-43</t>
  </si>
  <si>
    <t>Mateo 13, 24-30</t>
  </si>
  <si>
    <t>Mateo 13, 44-52</t>
  </si>
  <si>
    <t>Mateo 13, 44-46</t>
  </si>
  <si>
    <t>Mateo 14, 13-21</t>
  </si>
  <si>
    <t>Mateo 14, 22-33</t>
  </si>
  <si>
    <t>Mateo 16, 13-20</t>
  </si>
  <si>
    <t>Mateo 16, 21-27</t>
  </si>
  <si>
    <t>Mateo 18, 15-20</t>
  </si>
  <si>
    <t>Mateo 18, 21-35</t>
  </si>
  <si>
    <t>Mateo 20, 1-16</t>
  </si>
  <si>
    <t>Mateo 21, 28-32</t>
  </si>
  <si>
    <t>Mateo 21, 33-43</t>
  </si>
  <si>
    <t>Mateo 22, 1-14</t>
  </si>
  <si>
    <t>Mateo 22, 1-10</t>
  </si>
  <si>
    <t>Mateo 22, 15-21</t>
  </si>
  <si>
    <t>Mateo 22, 34-40</t>
  </si>
  <si>
    <t>Mateo 23, 1-12</t>
  </si>
  <si>
    <t>Mateo 25, 1-13</t>
  </si>
  <si>
    <t>Mateo 25, 14-30</t>
  </si>
  <si>
    <t>Mateo 25, 14-15. 19-21</t>
  </si>
  <si>
    <t>Mateo 25, 31-46</t>
  </si>
  <si>
    <t>Mateo 15, 21-28</t>
  </si>
  <si>
    <t>Samuel 1, 1-8</t>
  </si>
  <si>
    <t>Salmo 115, 12-13. 14 y 17. 18-19</t>
  </si>
  <si>
    <t>Mc 1, 15</t>
  </si>
  <si>
    <t>Marcos 1, 14-20</t>
  </si>
  <si>
    <t>martes</t>
  </si>
  <si>
    <t>Samuel 1, 9-20</t>
  </si>
  <si>
    <t>1Samuel 2, 1. 4-5. 6-7. 8</t>
  </si>
  <si>
    <t>1Ts 2, 13</t>
  </si>
  <si>
    <t>Marcos 1, 21-28</t>
  </si>
  <si>
    <t>TO-s1-PAR</t>
  </si>
  <si>
    <t>Lunes</t>
  </si>
  <si>
    <t>Miercoles</t>
  </si>
  <si>
    <t>Jueves</t>
  </si>
  <si>
    <t>Viernes</t>
  </si>
  <si>
    <t>Sabado</t>
  </si>
  <si>
    <t>TO-s2-PAR</t>
  </si>
  <si>
    <t>1 Samuel 3, 1-10. 19-20</t>
  </si>
  <si>
    <t>Salmo 39, 2 y 5. 7-8a. 8b-9. 10</t>
  </si>
  <si>
    <t>Jn 10, 27</t>
  </si>
  <si>
    <t>san Marcos 1, 29-39</t>
  </si>
  <si>
    <t>1 Samuel 4, 1-11</t>
  </si>
  <si>
    <t>Salmo 43, 10-11. 14-15. 24-25</t>
  </si>
  <si>
    <t>Mt 4, 23</t>
  </si>
  <si>
    <t>san Marcos 1, 40-45</t>
  </si>
  <si>
    <t>1 Samuel 8, 4-7. 10-22a</t>
  </si>
  <si>
    <t>Salmo 88, 16-17. 18-19</t>
  </si>
  <si>
    <t>Lc 7, 16</t>
  </si>
  <si>
    <t>Marcos 2, 1-12</t>
  </si>
  <si>
    <t>1 Samuel 9, 1-4. 17-19; 10, 1a</t>
  </si>
  <si>
    <t>Salmo 20, 2-3. 4-5. 6-7</t>
  </si>
  <si>
    <t>Marcos 2, 13-17</t>
  </si>
  <si>
    <t>1 Samuel 1, 1-8</t>
  </si>
  <si>
    <t>1 Samuel 1, 9-20</t>
  </si>
  <si>
    <t>1 Samuel 15, 16-23</t>
  </si>
  <si>
    <t>Salmo 49, 8-9. 16bc-17. 21 y 23</t>
  </si>
  <si>
    <t>Hb 4, 12</t>
  </si>
  <si>
    <t>Marcos 2, 18-22</t>
  </si>
  <si>
    <t>1 Samuel 16, 1-13</t>
  </si>
  <si>
    <t>Salmo 88, 20. 21-22. 27-28</t>
  </si>
  <si>
    <t>Ef 1, 17-18</t>
  </si>
  <si>
    <t>Marcos 2, 23-28</t>
  </si>
  <si>
    <t>1 Samuel 17, 32-33. 37. 40-51</t>
  </si>
  <si>
    <t>Salmo 143, 1. 2. 9-10</t>
  </si>
  <si>
    <t>Marcos 3, 1-6</t>
  </si>
  <si>
    <t>1 Samuel 18, 6-9; 19, 1-7</t>
  </si>
  <si>
    <t>Salmo 55, 2-3. 9-10. 11-12. 13</t>
  </si>
  <si>
    <t>2Tm 1, 10</t>
  </si>
  <si>
    <t>Marcos 3, 7-12</t>
  </si>
  <si>
    <t>1 Samuel 24, 3-21</t>
  </si>
  <si>
    <t>Salmo 56, 2. 3-4. 6 y 11</t>
  </si>
  <si>
    <t>2Co 5, 19</t>
  </si>
  <si>
    <t>Marcos 3, 13-19</t>
  </si>
  <si>
    <t>1 Samuel 1, 1-4. 11-12. 19. 23-27</t>
  </si>
  <si>
    <t>Salmo 79, 2-3. 5-7</t>
  </si>
  <si>
    <t>Hch 16, 14</t>
  </si>
  <si>
    <t>Marcos 3, 20-21</t>
  </si>
  <si>
    <t>2 Samuel 5, 1-7. 10</t>
  </si>
  <si>
    <t>Salmo 88, 20. 21-22. 25-26</t>
  </si>
  <si>
    <t>Marcos 3, 22-30</t>
  </si>
  <si>
    <t xml:space="preserve">Salmo 23, 7. 8. 9. 10 </t>
  </si>
  <si>
    <t>2 Samuel 6, 12b-15. 17-19</t>
  </si>
  <si>
    <t>Mt 11, 25</t>
  </si>
  <si>
    <t>Marcos 3, 31-35</t>
  </si>
  <si>
    <t>2 Samuel 7, 4-17</t>
  </si>
  <si>
    <t>Salmo 88, 4-5. 27-28. 29-30</t>
  </si>
  <si>
    <t>Marcos 4, 1-20</t>
  </si>
  <si>
    <t>2 Samuel 7, 18-19. 24-29</t>
  </si>
  <si>
    <t>Salmo 131, 1-2. 3-5. 11. 12. 13-14</t>
  </si>
  <si>
    <t>Sal 118, 105</t>
  </si>
  <si>
    <t>Marcos 4, 21-25</t>
  </si>
  <si>
    <t>2 Samuel 11, 1-4a. 5-10a. 13-17</t>
  </si>
  <si>
    <t>Salmo 50, 3-4. 5-6a. 6bc-7. 10-11</t>
  </si>
  <si>
    <t>Marcos 4, 26-34</t>
  </si>
  <si>
    <t>2 Samuel 12, 1-7a. 10-17</t>
  </si>
  <si>
    <t>Salmo 50 12-13. 14-15. 16-17</t>
  </si>
  <si>
    <t>Jn 3, 16</t>
  </si>
  <si>
    <t>Marcos 4, 35-41</t>
  </si>
  <si>
    <t>2 Samuel 15, 13-14. 30; 16, 5-13</t>
  </si>
  <si>
    <t>Salmo 3, 2-3, 4-5. 6-7</t>
  </si>
  <si>
    <t>Marcos 5, 1-20</t>
  </si>
  <si>
    <t>2 Samuel 18, 9-10. 14b. 24-25a. 30—19, 3</t>
  </si>
  <si>
    <t>Salmo 85, 1-2. 3-4. 5-6</t>
  </si>
  <si>
    <t>Mt 8, 17</t>
  </si>
  <si>
    <t>Marcos 5, 21-43</t>
  </si>
  <si>
    <t>2 Samuel 24, 2. 9-17</t>
  </si>
  <si>
    <t>Salmo 31, 1-2. 5. 6. 7 </t>
  </si>
  <si>
    <t>Marcos 6, 1-6</t>
  </si>
  <si>
    <t>1 Reyes 2, 1-4. 10-12</t>
  </si>
  <si>
    <t>1Crónicas 29, 10. 11ab. 11d-12a. 12</t>
  </si>
  <si>
    <t>Marcos 6, 7-13</t>
  </si>
  <si>
    <t>Sirácida 47, 2-13</t>
  </si>
  <si>
    <t>Salmo 17, 31. 47 y 50. 51</t>
  </si>
  <si>
    <t>Lc 8, 15</t>
  </si>
  <si>
    <t>Marcos 6, 14-29</t>
  </si>
  <si>
    <t>Salmo 118, 9. 10. 11. 12. 13. 14</t>
  </si>
  <si>
    <t>1 Reyes 3, 4-13</t>
  </si>
  <si>
    <t>Marcos 6, 30-34</t>
  </si>
  <si>
    <t>1 Reyes 8, 1-7. 9-13</t>
  </si>
  <si>
    <t>Salmo 131, 6-7. 8-10</t>
  </si>
  <si>
    <t>Marcos 6, 53-56</t>
  </si>
  <si>
    <t>1 Reyes 8, 22-23. 27-30</t>
  </si>
  <si>
    <t>Salmo 83, 3. 4. 5 y 10. 11</t>
  </si>
  <si>
    <t>Sal 118, 36a. 29b</t>
  </si>
  <si>
    <t>Marcos 7, 1-13</t>
  </si>
  <si>
    <t>1 Reyes 10, 1-10</t>
  </si>
  <si>
    <t>Salmo 36, 5-6. 30-31. 39-40</t>
  </si>
  <si>
    <t>Jn 17, 17</t>
  </si>
  <si>
    <t>Marcos 7, 14-23</t>
  </si>
  <si>
    <t>1 Reyes 11 ,4-13</t>
  </si>
  <si>
    <t>Salmo 105, 3-4. 35-36. 37 y 40 </t>
  </si>
  <si>
    <t>St 1, 21</t>
  </si>
  <si>
    <t>Marcos 7, 24-30</t>
  </si>
  <si>
    <t>1 Reyes 11, 29-32; 12, 19</t>
  </si>
  <si>
    <t>Salmo 80, 10-11ab. 12-13. 14-15</t>
  </si>
  <si>
    <t>Marcos 7, 31-37</t>
  </si>
  <si>
    <t>1 Reyes 12, 26-32; 13, 33-34</t>
  </si>
  <si>
    <t>Salmo 105, 6-7a. 19-20. 21-22</t>
  </si>
  <si>
    <t>Mt 4, 4b</t>
  </si>
  <si>
    <t>Marcos 8, 1-10</t>
  </si>
  <si>
    <t>Santiago 1, 1-11</t>
  </si>
  <si>
    <t>Salmo 118, 67. 68. 71. 72. 75. 76</t>
  </si>
  <si>
    <t>Marcos 8, 11-13</t>
  </si>
  <si>
    <t>Santiago 1, 12-18</t>
  </si>
  <si>
    <t>Salmo 93, 12-13a. 14-15. 18-19 </t>
  </si>
  <si>
    <t>Marcos 8, 14-21</t>
  </si>
  <si>
    <t>Santiago 1, 19-27</t>
  </si>
  <si>
    <t>Salmo 14, 2-3ab. 3cd-4ab. 5 </t>
  </si>
  <si>
    <t>Marcos 8, 22-26</t>
  </si>
  <si>
    <t>Santiago 2, 1-9</t>
  </si>
  <si>
    <t>Salmo 33, 2-3. 4-5. 6-7</t>
  </si>
  <si>
    <t>Jn 6, 63c. 68c</t>
  </si>
  <si>
    <t>Marcos 8, 27-33</t>
  </si>
  <si>
    <t>Santiago 2, 14-24. 26</t>
  </si>
  <si>
    <t>Salmo 111, 1-2. 3-4. 5-6</t>
  </si>
  <si>
    <t>Jn 15, 15b</t>
  </si>
  <si>
    <t>Marcos 8, 34 - 9, 1</t>
  </si>
  <si>
    <t>Santiago 3, 1-10</t>
  </si>
  <si>
    <t>Salmo 11, 2-3. 4-5. 7-8 </t>
  </si>
  <si>
    <t>san Marcos 9, 2-13</t>
  </si>
  <si>
    <t>Santiago 3, 13-18</t>
  </si>
  <si>
    <t>Salmo 18, 8. 9. 10. 15</t>
  </si>
  <si>
    <t>Marcos 9, 14-29</t>
  </si>
  <si>
    <t>Santiago 4, 1-10</t>
  </si>
  <si>
    <t>Salmo 54, 7-8. 9-10a. 10b-11a. 23</t>
  </si>
  <si>
    <t>Ga 6, 14</t>
  </si>
  <si>
    <t>Marcos 9, 30-37</t>
  </si>
  <si>
    <t>Santiago 4, 13-17</t>
  </si>
  <si>
    <t>Salmo 48, 2-3. 6-7. 8-10. 11</t>
  </si>
  <si>
    <t>Marcos 9, 38-40</t>
  </si>
  <si>
    <t>Santiago 5, 1-6</t>
  </si>
  <si>
    <t>Salmo 48, 14-15ab. 15cd-16. 17-18. 19-20</t>
  </si>
  <si>
    <t>Marcos 9, 41-50</t>
  </si>
  <si>
    <t>Santiago 5, 9-12</t>
  </si>
  <si>
    <t>Salmo 102, 1-2. 3-4. 8-9. 11-12</t>
  </si>
  <si>
    <t>Marcos 10, 1-12</t>
  </si>
  <si>
    <t>Santiago 5, 13-20</t>
  </si>
  <si>
    <t>Salmo 140, 1-2. 3 y 8 </t>
  </si>
  <si>
    <t>Marcos 10, 13-16</t>
  </si>
  <si>
    <t>1 Pedro 1, 3-9</t>
  </si>
  <si>
    <t>Salmo 110, 1-2. 5-6. 9 y 10c</t>
  </si>
  <si>
    <t>2Co 8, 9</t>
  </si>
  <si>
    <t>Marcos 10, 17-27</t>
  </si>
  <si>
    <t>1 Pedro 1, 10-16</t>
  </si>
  <si>
    <t>Salmo 97, 1. 2-3ab. 3c-4</t>
  </si>
  <si>
    <t>Marcos 10, 28-31</t>
  </si>
  <si>
    <t>1 Pedro 1, 18-25</t>
  </si>
  <si>
    <t>Mc 10, 45</t>
  </si>
  <si>
    <t>Marcos 10, 32-45</t>
  </si>
  <si>
    <t>1 Pedro 2, 2-5. 9-12</t>
  </si>
  <si>
    <t>Salmo 99, 2. 3. 4. 5</t>
  </si>
  <si>
    <t>Jn 8, 12</t>
  </si>
  <si>
    <t>Marcos 10, 46-52</t>
  </si>
  <si>
    <t>1 Pedro 4, 7-13</t>
  </si>
  <si>
    <t>Salmo 95, 10. 11-12. 13</t>
  </si>
  <si>
    <t>Jn 15, 16</t>
  </si>
  <si>
    <t>Marcos 11, 11-26</t>
  </si>
  <si>
    <t>Judas: 17. 20b-25</t>
  </si>
  <si>
    <t>Salmo 62, 2. 3-4. 5-6</t>
  </si>
  <si>
    <t>Col 3, 16. 17</t>
  </si>
  <si>
    <t>Marcos 11, 27-33</t>
  </si>
  <si>
    <t>2 Pedro 1, 1-7</t>
  </si>
  <si>
    <t>Salmo 90, 1-2. 14-15ab. 15c-16</t>
  </si>
  <si>
    <t>Ap 1, 5ab</t>
  </si>
  <si>
    <t>Marcos 12, 1-12</t>
  </si>
  <si>
    <t>2 Pedro 3 ,12-15a. 17-18</t>
  </si>
  <si>
    <t>Salmo 89, 2. 3-4. 10. 14 y 16</t>
  </si>
  <si>
    <t>Marcos 12, 13-17</t>
  </si>
  <si>
    <t>2 Timoteo 1, 1-3. 6-12</t>
  </si>
  <si>
    <t>Salmo 122, 1-2a. 2</t>
  </si>
  <si>
    <t>Marcos 12, 18-27</t>
  </si>
  <si>
    <t>2 Timoteo 2, 8-15</t>
  </si>
  <si>
    <t>Salmo 24, 4bc-5ab. 8-9. 10 y 14</t>
  </si>
  <si>
    <t>Marcos 12, 28b-34</t>
  </si>
  <si>
    <t>2 Timoteo 3, 10-17</t>
  </si>
  <si>
    <t>Salmo 118, 157. 160. 161. 165. 166. 168</t>
  </si>
  <si>
    <t>Marcos 12, 35-37</t>
  </si>
  <si>
    <t>2 Timoteo 4, 1-8</t>
  </si>
  <si>
    <t>Salmo 70, 8-9. 14-15ab. 16-17. 22</t>
  </si>
  <si>
    <t>Mt 5, 3</t>
  </si>
  <si>
    <t>Marcos 12, 38-44</t>
  </si>
  <si>
    <t>1 Reyes 17, 1-6</t>
  </si>
  <si>
    <t>Salmo 120, 1-2. 3-4. 5-6. 7-8</t>
  </si>
  <si>
    <t>Mt 5, 12</t>
  </si>
  <si>
    <t>Mateo 5, 1-12</t>
  </si>
  <si>
    <t>1 Reyes 17, 7-16</t>
  </si>
  <si>
    <t>Salmo 4, 2-3. 4-5. 7-8</t>
  </si>
  <si>
    <t>Mt 5, 16</t>
  </si>
  <si>
    <t>1 Reyes 18, 20-39</t>
  </si>
  <si>
    <t>Salmo 15, 1-2a. 4. 5 y 8. 11</t>
  </si>
  <si>
    <t>Sal 24, 4b. 5a</t>
  </si>
  <si>
    <t>Mateo 5, 17-19</t>
  </si>
  <si>
    <t>1 Reyes 18, 41-46</t>
  </si>
  <si>
    <t>Salmo 64, 10. 10-11. 12-13</t>
  </si>
  <si>
    <t>Mateo 5, 20-26</t>
  </si>
  <si>
    <t>1 Reyes 19, 9a. 11-16</t>
  </si>
  <si>
    <t>Salmo 26, 7-8. 8-9. 13-14</t>
  </si>
  <si>
    <t>Flp 2, 15. 16</t>
  </si>
  <si>
    <t>Mateo 5, 27-32</t>
  </si>
  <si>
    <t>1 Reyes 19, 19-21</t>
  </si>
  <si>
    <t>Salmo 15, 1-2a y 5. 7-8. 9-10</t>
  </si>
  <si>
    <t>Sal 118, 36. 29</t>
  </si>
  <si>
    <t>Mateo 5, 33-37</t>
  </si>
  <si>
    <t>1 Reyes 21, 1-16</t>
  </si>
  <si>
    <t>Salmo 5, 2-3. 5-6. 7</t>
  </si>
  <si>
    <t>Mateo 5, 38-42</t>
  </si>
  <si>
    <t>1 Reyes 21, 17-29</t>
  </si>
  <si>
    <t>Salmo 50, 3-4. 5-6a. 11 y 16</t>
  </si>
  <si>
    <t>Mateo 5, 43-48</t>
  </si>
  <si>
    <t>2 Reyes 2, 1. 6-14</t>
  </si>
  <si>
    <t>Salmo 30, 20. 21. 24</t>
  </si>
  <si>
    <t>Mateo 6, 1-6. 16-18</t>
  </si>
  <si>
    <t>Sirácida 48, 1-15</t>
  </si>
  <si>
    <t>Salmo 96, 1-2. 3-4. 5-6. 7</t>
  </si>
  <si>
    <t>Rm 8, 15</t>
  </si>
  <si>
    <t>Mateo 6, 7-15</t>
  </si>
  <si>
    <t>2 Reyes 11, 1-4. 9-18. 20</t>
  </si>
  <si>
    <t>Salmo 131, 11. 12. 13-14. 17-18</t>
  </si>
  <si>
    <t>Mateo 6, 19-23</t>
  </si>
  <si>
    <t>2 Crónicas 24, 17-25</t>
  </si>
  <si>
    <t>Salmo 88, 4-5. 29-30. 31-32. 33-34</t>
  </si>
  <si>
    <t>2 Reyes 17, 5-8. 13-15.18</t>
  </si>
  <si>
    <t>Salmo 59, 3. 4-5. 12-13</t>
  </si>
  <si>
    <t>Mateo 7, 1-5</t>
  </si>
  <si>
    <t>2 Reyes 19, 9-11. 14-21. 31-35. 36</t>
  </si>
  <si>
    <t>Salmo 47, 2-3a. 3b-4. 10-11</t>
  </si>
  <si>
    <t>Mateo 7, 6. 12-14</t>
  </si>
  <si>
    <t>2 Reyes 22, 13; 23, 1-3</t>
  </si>
  <si>
    <t>Salmo 118, 33. 34. 35. 36. 37. 40</t>
  </si>
  <si>
    <t>Jn 15, 4a. 5</t>
  </si>
  <si>
    <t>Mateo 7, 15-20</t>
  </si>
  <si>
    <t>2 Reyes 24, 8-17</t>
  </si>
  <si>
    <t>Salmo 78, 1-2. 3-5. 8. 9</t>
  </si>
  <si>
    <t>Mateo 7, 21-29</t>
  </si>
  <si>
    <t>2 Reyes 25, 1-12</t>
  </si>
  <si>
    <t>Salmo 136, 1-2. 3. 4-5. 6</t>
  </si>
  <si>
    <t>Mateo 8, 1-4</t>
  </si>
  <si>
    <t>Lamentaciones 2, 2. 10-14. 18-19</t>
  </si>
  <si>
    <t>Salmo 73, 1-2. 3-5a. 5b-7. 20-21</t>
  </si>
  <si>
    <t>Mateo 8, 5-17</t>
  </si>
  <si>
    <t>Amós 2, 6-10. 13-16</t>
  </si>
  <si>
    <t>Salmo 49, 16-17. 18-19. 20-21. 22-23</t>
  </si>
  <si>
    <t>Sal 94, 8</t>
  </si>
  <si>
    <t>Mateo 8, 18-22</t>
  </si>
  <si>
    <t>Amós 3, 1-8; 4, 11-12</t>
  </si>
  <si>
    <t>Salmo 5, 5-6. 7. 8</t>
  </si>
  <si>
    <t>Sal 129, 5</t>
  </si>
  <si>
    <t>Mateo 8, 23-27</t>
  </si>
  <si>
    <t>Amós 5, 14-15. 21-24</t>
  </si>
  <si>
    <t>Salmo 49, 7. 8-9. 10-11. 12-13. 16-17</t>
  </si>
  <si>
    <t>St 1, 18</t>
  </si>
  <si>
    <t>Mateo 8, 28-34</t>
  </si>
  <si>
    <t>Amós 7, 10-17</t>
  </si>
  <si>
    <t>Salmo 18, 8. 9. 10. 11</t>
  </si>
  <si>
    <t>Mateo 9, 1-8</t>
  </si>
  <si>
    <t>Amós 8, 4-6. 9-12</t>
  </si>
  <si>
    <t>Salmo 118, 2. 10. 20. 30. 40. 131</t>
  </si>
  <si>
    <t>Mt 11, 28</t>
  </si>
  <si>
    <t>Amós 9, 11-15</t>
  </si>
  <si>
    <t>Salmo 84, 9. 11-12. 13-14</t>
  </si>
  <si>
    <t>Mateo 9, 14-17</t>
  </si>
  <si>
    <t>Oseas 2, 16. 17b-18. 21-22</t>
  </si>
  <si>
    <t>Salmo 144, 2-3. 4-5. 6-7. 8-9</t>
  </si>
  <si>
    <t>Mateo 9, 18-26</t>
  </si>
  <si>
    <t>Oseas 8, 4-7. 11. 13</t>
  </si>
  <si>
    <t>Salmo 113B, 3-4. 5-6. 7-8. 9-10</t>
  </si>
  <si>
    <t>Mateo 9, 32-38</t>
  </si>
  <si>
    <t>Oseas 10, 1-3. 7-8. 12</t>
  </si>
  <si>
    <t>Salmo 104, 2-3. 4-5. 6-7</t>
  </si>
  <si>
    <t>Mateo 10, 1-7</t>
  </si>
  <si>
    <t>Oseas 11, 1-4. 8-9</t>
  </si>
  <si>
    <t>Salmo 79, 2ac y 3b. 15-16</t>
  </si>
  <si>
    <t>Mateo 10, 7-15</t>
  </si>
  <si>
    <t>Oseas 14, 2-10</t>
  </si>
  <si>
    <t>Salmo 50, 3-4. 8-9. 12-13. 14 y 17</t>
  </si>
  <si>
    <t>Jn 16, 13; 14, 26</t>
  </si>
  <si>
    <t>Mateo 10, 16-23</t>
  </si>
  <si>
    <t>Isaías 6, 1-8</t>
  </si>
  <si>
    <t>Salmo 92, 1. 1-2. 5</t>
  </si>
  <si>
    <t>1P 4, 14</t>
  </si>
  <si>
    <t>Mateo 10, 24-33</t>
  </si>
  <si>
    <t>Isaías 1, 10-17</t>
  </si>
  <si>
    <t>Mt, 5, 10</t>
  </si>
  <si>
    <t>Mateo 10, 34—11, 1</t>
  </si>
  <si>
    <t>Isaías 7, 1-9</t>
  </si>
  <si>
    <t>Salmo 47, 2-3a. 3b-4. 5-6. 7-8</t>
  </si>
  <si>
    <t>Mateo 11, 20-24</t>
  </si>
  <si>
    <t>Isaías 10, 5-7. 13-16</t>
  </si>
  <si>
    <t>Salmo 93, 5-6. 7-8. 9-10. 14-15</t>
  </si>
  <si>
    <t>Mateo 11, 25-27</t>
  </si>
  <si>
    <t>Isaías 26, 7-9. 12. 16-19</t>
  </si>
  <si>
    <t>Salmo 101, 13-14ab y 15. 16-18. 19-21</t>
  </si>
  <si>
    <t>Mateo 11, 28-30</t>
  </si>
  <si>
    <t>Isaías 38, 1-6. 21-22. 7-8</t>
  </si>
  <si>
    <t>Isaías 38, 10. 11. 12. 16</t>
  </si>
  <si>
    <t>Mateo 12, 1-8</t>
  </si>
  <si>
    <t>Miqueas 2, 1-5</t>
  </si>
  <si>
    <t>Salmo 9, 22-23. 24-25. 28-29. 35</t>
  </si>
  <si>
    <t>Mateo 12, 14-21</t>
  </si>
  <si>
    <t>Miqueas 6, 1-4. 6-8</t>
  </si>
  <si>
    <t>Salmo 49, 5-6. 8-9. 16bc-17. 21 y 23</t>
  </si>
  <si>
    <t>Mateo 12, 38-42</t>
  </si>
  <si>
    <t>Miqueas 7, 14-15. 18-20</t>
  </si>
  <si>
    <t>Salmo 84, 2-4. 5-6. 7-8</t>
  </si>
  <si>
    <t>Mateo 12, 46-50</t>
  </si>
  <si>
    <t>Jeremías 1, 1. 4-10</t>
  </si>
  <si>
    <t>Salmo 70, 1-2. 3-4a. 5-6ab. 15ab y 17</t>
  </si>
  <si>
    <t>Jeremías 2, 1-3. 7-8. 12-13</t>
  </si>
  <si>
    <t>Salmo 35, 6-7ab. 8-9. 10-11</t>
  </si>
  <si>
    <t>Mateo 13, 10-17</t>
  </si>
  <si>
    <t>Jeremías 3, 14-17</t>
  </si>
  <si>
    <t>Jeremías 31, 10. 11 -12. 13</t>
  </si>
  <si>
    <t>Mateo 13, 18-23</t>
  </si>
  <si>
    <t>Jeremías 7, 1-11</t>
  </si>
  <si>
    <t>Salmo 83, 3. 4. 5-6 y 8. 11</t>
  </si>
  <si>
    <t>Jeremías 13, 1-11</t>
  </si>
  <si>
    <t>Deuteronomio 32, 18-19. 20. 21</t>
  </si>
  <si>
    <t>Mateo 13, 31-35</t>
  </si>
  <si>
    <t>Jeremías 14, 17-22</t>
  </si>
  <si>
    <t>Salmo 78, 8. 9. 11 y 13</t>
  </si>
  <si>
    <t>Mateo 13, 36-43</t>
  </si>
  <si>
    <t>Jeremías 15, 10. 16-21</t>
  </si>
  <si>
    <t>Salmo 58, 23. 4-5a. 10-11. 17. 18</t>
  </si>
  <si>
    <t>Jn 15, 15</t>
  </si>
  <si>
    <t>Jeremías 18, 1-6</t>
  </si>
  <si>
    <t>Salmo 145, 1-2. 3-4. 5-6</t>
  </si>
  <si>
    <t>Mateo 13, 47-53</t>
  </si>
  <si>
    <t>Jeremías 26, 1-9</t>
  </si>
  <si>
    <t>Salmo 68, 5. 8-10. 14</t>
  </si>
  <si>
    <t>1P 1, 25</t>
  </si>
  <si>
    <t>Mateo 13, 54-58</t>
  </si>
  <si>
    <t>Jeremías 26, 11-16. 24</t>
  </si>
  <si>
    <t>Salmo 68, 15-16. 30-31. 33-34</t>
  </si>
  <si>
    <t>Mt 5, 10</t>
  </si>
  <si>
    <t>Mateo 14, 1-12</t>
  </si>
  <si>
    <t>Jeremías 28, 1-17</t>
  </si>
  <si>
    <t>Salmo 118, 29. 43. 79. 80. 95. 102</t>
  </si>
  <si>
    <t>Jeremías 30, 1-2. 12-15. 18-22</t>
  </si>
  <si>
    <t>Salmo 101, 16-18. 19-21. 29 y 22-23</t>
  </si>
  <si>
    <t>Jn 1, 49b</t>
  </si>
  <si>
    <t>Mateo 14, 22-36 / Mateo 15, 1-2. 10-14</t>
  </si>
  <si>
    <t>Jeremías 31, 1-7</t>
  </si>
  <si>
    <t>Jeremías 31. 10. 11-12ab. 13</t>
  </si>
  <si>
    <t>Jeremías 31, 31-34</t>
  </si>
  <si>
    <t>Salmo 50, 12-13. 14-15. 18-19</t>
  </si>
  <si>
    <t>Mt 16, 18</t>
  </si>
  <si>
    <t>Mateo 16, 13-23</t>
  </si>
  <si>
    <t>Nahum 2, 1. 3; 3, 1-3. 6-7</t>
  </si>
  <si>
    <t>Deuteronomio 32, 35-36. 39. 41 </t>
  </si>
  <si>
    <t>Mateo 16, 24-28</t>
  </si>
  <si>
    <t>Habacuc 1, 12—2, 4</t>
  </si>
  <si>
    <t>Salmo 9, 8-9. 10-11. 12-13</t>
  </si>
  <si>
    <t>Mateo 17, 14-20</t>
  </si>
  <si>
    <t>Ezequiel 1, 2-5. 24-28</t>
  </si>
  <si>
    <t>Salmo 148, 1-2. 11-12. 12-14</t>
  </si>
  <si>
    <t>2Ts 2, 14</t>
  </si>
  <si>
    <t>Mateo 17, 22-27</t>
  </si>
  <si>
    <t>Ezequiel 2, 8—3, 4</t>
  </si>
  <si>
    <t>Salmo 118, 14. 24. 72. 103. 111. 131</t>
  </si>
  <si>
    <t>Mt 11, 29</t>
  </si>
  <si>
    <t>Mateo 18, 1-5. 10. 12-14</t>
  </si>
  <si>
    <t>Ezequiel 9, 1-7; 10, 18-22</t>
  </si>
  <si>
    <t>Salmo 112, 1-2. 3-4. 5-6</t>
  </si>
  <si>
    <t>Ezequiel 12, 1-12</t>
  </si>
  <si>
    <t>Salmo 77, 56-57. 58-59. 61-62</t>
  </si>
  <si>
    <t>Sal 118, 135</t>
  </si>
  <si>
    <t>Mateo 18, 21 - 19, 1</t>
  </si>
  <si>
    <t>Ezequiel 16, 1-15. 60. 63  / Ezequiel Ez 16, 59-63</t>
  </si>
  <si>
    <t>Isaías 12, 2-3. 4bcd. 5-6 </t>
  </si>
  <si>
    <t>Mateo 19, 3-12</t>
  </si>
  <si>
    <t>Ezequiel 18, 1-10. 13b. 30-32</t>
  </si>
  <si>
    <t>Mateo 19, 13-15</t>
  </si>
  <si>
    <t>Ezequiel 24, 15-24</t>
  </si>
  <si>
    <t>Mateo 19, 16-22</t>
  </si>
  <si>
    <t>Ezequiel 28, 1-10</t>
  </si>
  <si>
    <t>Deuteronomio 32, 26-27. 27-28. 30. 35-36</t>
  </si>
  <si>
    <t>Mateo 19, 23-30</t>
  </si>
  <si>
    <t>Ezequiel 34, 1-11</t>
  </si>
  <si>
    <t>Ezequiel 36, 23-28</t>
  </si>
  <si>
    <t>Ezequiel 37, 1-14</t>
  </si>
  <si>
    <t>Salmo 106, 2-3. 4-5. 6-7. 8-9</t>
  </si>
  <si>
    <t>Ezequiel 43, 1-7a</t>
  </si>
  <si>
    <t>Salmo 84, 9ab-10. 11-12. 13-14</t>
  </si>
  <si>
    <t>Mt 23, 9. 10</t>
  </si>
  <si>
    <t>Sal 24, 4. 5</t>
  </si>
  <si>
    <t>https://servicioskoinonia.org/leccionario/Libro_04.html</t>
  </si>
  <si>
    <t>Rut 2, 1-3. 8-11; 4, 13-17</t>
  </si>
  <si>
    <t>1 Tesalonicenses 1, 1-5. 8-10</t>
  </si>
  <si>
    <t>Salmo 149, 1-2. 3-4. 5-6a y 9b</t>
  </si>
  <si>
    <t>Salmo 149, 1-2. 3-4. 5-6 y 9</t>
  </si>
  <si>
    <t>Mateo 23, 13-22</t>
  </si>
  <si>
    <t>1 Tesalonicenses 2, 1-8</t>
  </si>
  <si>
    <t>Salmo 138, 1-3. 4-6</t>
  </si>
  <si>
    <t>Mateo 23, 23-26</t>
  </si>
  <si>
    <t>1 Tesalonicenses 2, 9-13</t>
  </si>
  <si>
    <t>Salmo 138, 7-8. 9-10. 11-12</t>
  </si>
  <si>
    <t>1Jn 2, 5</t>
  </si>
  <si>
    <t>Mateo 23, 27-32</t>
  </si>
  <si>
    <t>1 Tesalonicenses 3, 7-13</t>
  </si>
  <si>
    <t>Salmo 89, 3-4. 12-13. 14 y 17</t>
  </si>
  <si>
    <t>Mt 24, 42a. 44</t>
  </si>
  <si>
    <t>Mateo 24, 42-51</t>
  </si>
  <si>
    <t>Salmo 96, 1 y 2b. 5-6. 10. 11-12</t>
  </si>
  <si>
    <t>Lc 21, 36</t>
  </si>
  <si>
    <t>1 Tesalonicenses 4, 9-11</t>
  </si>
  <si>
    <t>1 Tesalonicenses 4, 1-8</t>
  </si>
  <si>
    <t>Salmo 97, 1. 7-8. 9</t>
  </si>
  <si>
    <t>1 Tesalonicenses 4, 13-18</t>
  </si>
  <si>
    <t>Salmo 95, 1 y 3. 4-5. 11-12a. 12b-13</t>
  </si>
  <si>
    <t>Lucas 4, 16-30</t>
  </si>
  <si>
    <t>1 Tesalonicenses 5, 1-6. 9-11</t>
  </si>
  <si>
    <t>Salmo 26, 1. 4. 13-14 </t>
  </si>
  <si>
    <t>Salmo 26, 1. 4. 13-14</t>
  </si>
  <si>
    <t>Lucas 4, 31-37</t>
  </si>
  <si>
    <t>Colosenses 1, 1-8</t>
  </si>
  <si>
    <t>Salmo 51, 10. 11</t>
  </si>
  <si>
    <t>Lucas 4, 38-44</t>
  </si>
  <si>
    <t>Colosenses 1, 9-14</t>
  </si>
  <si>
    <t>Salmo 97, 2-3ab. 3cd-4. 5-6</t>
  </si>
  <si>
    <t>Mt 4, 19</t>
  </si>
  <si>
    <t>Lucas 5, 1-11</t>
  </si>
  <si>
    <t>Colosenses 1, 15-20</t>
  </si>
  <si>
    <t>Jn 8, 12b</t>
  </si>
  <si>
    <t>Lucas 5, 33-39</t>
  </si>
  <si>
    <t>Colosenses 1, 21-23</t>
  </si>
  <si>
    <t>Salmo 53, 3-4. 6 y 8</t>
  </si>
  <si>
    <t>Lucas 6, 1-5</t>
  </si>
  <si>
    <t>Colosenses 1, 24—2, 3</t>
  </si>
  <si>
    <t>Salmo 61, 6-7. 9</t>
  </si>
  <si>
    <t>Lucas 6, 6-11</t>
  </si>
  <si>
    <t>Colosenses 2, 6-15</t>
  </si>
  <si>
    <t>Salmo 144, 1-2. 8-9. 10-11</t>
  </si>
  <si>
    <t>Lucas 6, 12-19</t>
  </si>
  <si>
    <t>Colosenses 3, 1-11</t>
  </si>
  <si>
    <t>Salmo 144, 2-3. 10-11. 12-13</t>
  </si>
  <si>
    <t>Lc 6, 23ab</t>
  </si>
  <si>
    <t>Lc 6, 23</t>
  </si>
  <si>
    <t>Lucas 6, 20-26</t>
  </si>
  <si>
    <t>Colosenses 3, 12-17</t>
  </si>
  <si>
    <t>Salmo 150, 1. 3-4. 5-6</t>
  </si>
  <si>
    <t>1Jn 4, 12</t>
  </si>
  <si>
    <t>Lucas 6, 27-38</t>
  </si>
  <si>
    <t>1 Timoteo 1, 1-2. 12-14</t>
  </si>
  <si>
    <t>Salmo 15, 1-2a y 5. 7-8. 11</t>
  </si>
  <si>
    <t>Jn 17, 17b</t>
  </si>
  <si>
    <t>Lucas 6, 39-42</t>
  </si>
  <si>
    <t>1 Timoteo 1, 15-17</t>
  </si>
  <si>
    <t>Salmo 112, 1-2. 3-4. 5 y 6-7</t>
  </si>
  <si>
    <t>Lucas 6, 43-49</t>
  </si>
  <si>
    <t>1 Timoteo 2, 1-8</t>
  </si>
  <si>
    <t>Salmo 27, 2. 7. 8-9</t>
  </si>
  <si>
    <t>Lucas 7, 1-10</t>
  </si>
  <si>
    <t>1 Timoteo 3, 1-13</t>
  </si>
  <si>
    <t>Salmo 100, 1-2. 2-3. 5. 6</t>
  </si>
  <si>
    <t>Lucas 7, 11-17</t>
  </si>
  <si>
    <t>1 Timoteo 3, 14-16</t>
  </si>
  <si>
    <t>Salmo 110, 1-2. 3-4. 5-6</t>
  </si>
  <si>
    <t>Jn 6, 63. 68</t>
  </si>
  <si>
    <t>Lucas 7, 31-35</t>
  </si>
  <si>
    <t>1 Timoteo 4, 12-16</t>
  </si>
  <si>
    <t>Salmo 110, 7-8. 9. 10</t>
  </si>
  <si>
    <t>Lucas 7, 36-50</t>
  </si>
  <si>
    <t>1 Timoteo 6, 2-12</t>
  </si>
  <si>
    <t>Salmo 48, 6-7. 8-10. 17-18. 19-20</t>
  </si>
  <si>
    <t>Lucas 8, 1-3</t>
  </si>
  <si>
    <t>Timoteo 6, 13-16</t>
  </si>
  <si>
    <t>Lucas 8, 4-15</t>
  </si>
  <si>
    <t>Esdras 1, 1-6</t>
  </si>
  <si>
    <t>Salmo 125, 1-2ab. 2cd-3. 4-5. 6</t>
  </si>
  <si>
    <t>Salmo 125, 1-2. 2-3. 4-5. 6</t>
  </si>
  <si>
    <t>Lucas 8, 16-18</t>
  </si>
  <si>
    <t>Esdras 6, 7-8. 12. 14-20</t>
  </si>
  <si>
    <t>Salmo 121, 1-2. 3-4a. 4b-5</t>
  </si>
  <si>
    <t>Lc 11,28</t>
  </si>
  <si>
    <t>Lucas 8, 19-21</t>
  </si>
  <si>
    <t>Esdras 9, 5-9</t>
  </si>
  <si>
    <t>Tobías 13, 2. 4. 6. 7. 8</t>
  </si>
  <si>
    <t>Lucas 9, 1-6</t>
  </si>
  <si>
    <t>Ageo 1, 1-8</t>
  </si>
  <si>
    <t>Salmo 149, 1-2. 3-4. 5-6. 9</t>
  </si>
  <si>
    <t>Lucas 9, 7-9</t>
  </si>
  <si>
    <t>Ageo 1, 15b—2, 9</t>
  </si>
  <si>
    <t>Salmo 42, 1. 2. 3. 4</t>
  </si>
  <si>
    <t>Lucas 9, 18-22</t>
  </si>
  <si>
    <t>Zacarías 2, 5-9. 14-15</t>
  </si>
  <si>
    <t>Jeremías 31, 10. 11-12. 13</t>
  </si>
  <si>
    <t>Lucas 9, 43b-45</t>
  </si>
  <si>
    <t>Lucas 9, 43-45</t>
  </si>
  <si>
    <t>Zacarías 8, 1-8</t>
  </si>
  <si>
    <t>Salmo 101. 16-18. 19-21. 29 y 22-23</t>
  </si>
  <si>
    <t>Lucas 9, 46-50</t>
  </si>
  <si>
    <t>Zacarías 8, 20-23</t>
  </si>
  <si>
    <t>Salmo 86, 1-3. 4-5. 6-7</t>
  </si>
  <si>
    <t>Lucas 9, 51-56</t>
  </si>
  <si>
    <t>Nehemías 2, 1-8</t>
  </si>
  <si>
    <t>Flp 3, 8-9</t>
  </si>
  <si>
    <t>Lucas 9, 57-62</t>
  </si>
  <si>
    <t>Nehemías 8 ,1-4. 5-6. 7-12</t>
  </si>
  <si>
    <t>Lucas 10, 1-12</t>
  </si>
  <si>
    <t>Baruc 1, 15-22</t>
  </si>
  <si>
    <t>Sal 94, 8ab</t>
  </si>
  <si>
    <t>Lucas 10, 13-16</t>
  </si>
  <si>
    <t>Baruc 4, 5-12. 27-29</t>
  </si>
  <si>
    <t>Salmo 68, 33-35. 36-37</t>
  </si>
  <si>
    <t>Lucas 10, 17-24</t>
  </si>
  <si>
    <t>Jonás 1, 1—2, 1. 11</t>
  </si>
  <si>
    <t>Jonás 2, 3. 4. 5. 8</t>
  </si>
  <si>
    <t>Jn 13, 14</t>
  </si>
  <si>
    <t>Lucas 10, 25-37</t>
  </si>
  <si>
    <t>Jonás 3, 1-10</t>
  </si>
  <si>
    <t>Salmo 129, 1-2. 3-4. 7-8</t>
  </si>
  <si>
    <t>Lc 11, 28</t>
  </si>
  <si>
    <t>Lucas 10, 38-42</t>
  </si>
  <si>
    <t>Jonás 4, 1-11</t>
  </si>
  <si>
    <t>Salmo 85, 3-4. 5-6. 9-10</t>
  </si>
  <si>
    <t>Rm 8, 15bc</t>
  </si>
  <si>
    <t>Lucas 11, 1-4</t>
  </si>
  <si>
    <t>Malaquías 3, 13-20a</t>
  </si>
  <si>
    <t>Salmo 1, 1-2a. 3. 4 y 6</t>
  </si>
  <si>
    <t>Hch 16, 14b</t>
  </si>
  <si>
    <t>Lucas 11, 5-13</t>
  </si>
  <si>
    <t>Joel 1, 13-15; 2 , 1-2</t>
  </si>
  <si>
    <t>Salmo 9, 2-3. 6 y 16. 8-9</t>
  </si>
  <si>
    <t>Jn 12, 31b. 32</t>
  </si>
  <si>
    <t>Jn 12, 31. 32</t>
  </si>
  <si>
    <t>Lucas 11, 15-26</t>
  </si>
  <si>
    <t>Joel 4, 12-21</t>
  </si>
  <si>
    <t>Salmo 96, 1-2. 5-6. 11-12</t>
  </si>
  <si>
    <t>Lucas 11, 27-28</t>
  </si>
  <si>
    <t>IMP</t>
  </si>
  <si>
    <t>TO</t>
  </si>
  <si>
    <t>PAR</t>
  </si>
  <si>
    <t>2 Tesalonicenses 1, 1-5. 11b-12</t>
  </si>
  <si>
    <t>Salmo 95, 1-2a. 2b-3. 4-5</t>
  </si>
  <si>
    <t>2 Tesalonicenses 2, 1-3a. 14-17</t>
  </si>
  <si>
    <t>Salmo 95, 10. 11-12a. 12b-13</t>
  </si>
  <si>
    <t>2 Tesalonicenses 3, 6-10. 16-18</t>
  </si>
  <si>
    <t>Salmo 127, 1-2. 4-5</t>
  </si>
  <si>
    <t>1 Corintios 1, 1-9</t>
  </si>
  <si>
    <t>Salmo 144, 2-3. 4-5. 6-7</t>
  </si>
  <si>
    <t>Salmo 32, 1-2. 4-5. 10ab y 11</t>
  </si>
  <si>
    <t>1 Corintios 1, 26-31</t>
  </si>
  <si>
    <t>1 Corintios 1, 17-25</t>
  </si>
  <si>
    <t>Salmo 32, 12-13. 18-19. 20-21</t>
  </si>
  <si>
    <t>1 Corintios 2, 1-5</t>
  </si>
  <si>
    <t>Salmo 118, 97. 98. 99. 100. 101</t>
  </si>
  <si>
    <t>1 Corintios 2, 10b-16</t>
  </si>
  <si>
    <t>Salmo 144, 8-9. 10-11. 12-13ab. 13cb-14</t>
  </si>
  <si>
    <t>Lc 7,16</t>
  </si>
  <si>
    <t>1 Corintios 3, 1-9</t>
  </si>
  <si>
    <t>Salmo 32, 12-13. 14-15. 20-21</t>
  </si>
  <si>
    <t>1 Corintios 3, 18-23</t>
  </si>
  <si>
    <t>Corintios 4, 1-5</t>
  </si>
  <si>
    <t>Salmo 36, 3-4. 5-6. 27-28. 39-40</t>
  </si>
  <si>
    <t>1 Corintios 4, 6b-15</t>
  </si>
  <si>
    <t>Salmo 144, 17-18. 19-20. 21</t>
  </si>
  <si>
    <t>1 Corintios 5, 1-8</t>
  </si>
  <si>
    <t>Salmo 5, 5-6. 7. 12</t>
  </si>
  <si>
    <t>1 Corintios 6, 1-11</t>
  </si>
  <si>
    <t>1 Corintios 7, 25-31</t>
  </si>
  <si>
    <t>Salmo 44, 11-12. 14-15. 16-17</t>
  </si>
  <si>
    <t>1 Corintios 8, 1b-7. 11-13</t>
  </si>
  <si>
    <t>Salmo 138, 1-3. 13-14ab. 23-24 </t>
  </si>
  <si>
    <t>1 Corintios 9, 16-19. 22b-27</t>
  </si>
  <si>
    <t>Salmo 83, 3. 4. 5-6. 12</t>
  </si>
  <si>
    <t>1 Corintios 10, 14-22</t>
  </si>
  <si>
    <t>Salmo 115, 12-13. 17-18</t>
  </si>
  <si>
    <t>1 Corintios 11, 17-26. 33</t>
  </si>
  <si>
    <t>Salmo 39, 7-8a. 8b-9. 10. 17</t>
  </si>
  <si>
    <t>1 Corintios 12, 12-14. 27-31a</t>
  </si>
  <si>
    <t>1 Corintios 12, 31—13, 13</t>
  </si>
  <si>
    <t>Salmo 32, 2-3. 4-5. 12 y 22</t>
  </si>
  <si>
    <t>1 Corintios 15, 1-11</t>
  </si>
  <si>
    <t>Salmo 117, 1-2. 16ab-17, 28</t>
  </si>
  <si>
    <t>1 Corintios 15, 12-20</t>
  </si>
  <si>
    <t>Salmo 16, 1. 6-7. 8 y 15</t>
  </si>
  <si>
    <t>1 Corintios 15, 35-37. 42-49</t>
  </si>
  <si>
    <t>Salmo 55, 10. 11-12. 13. 14</t>
  </si>
  <si>
    <t>Proverbios 3, 27-34</t>
  </si>
  <si>
    <t>14, 2-3ab. 3cd-4ab. 5</t>
  </si>
  <si>
    <t>Proverbios 21, 1-6. 10-13</t>
  </si>
  <si>
    <t>Salmo 118, 1. 27. 30. 34. 35. 44</t>
  </si>
  <si>
    <t>Proverbios 30, 5-9</t>
  </si>
  <si>
    <t>Salmo 118, 29. 72. 89. 101. 104. 163</t>
  </si>
  <si>
    <t>Qohélet 1, 2-11</t>
  </si>
  <si>
    <t>Salmo 89, 3-4. 5-6. 12-13. 14 y 17</t>
  </si>
  <si>
    <t>Qohélet 3, 1-11</t>
  </si>
  <si>
    <t>Salmo 143. 1a y 2abc. 3-4</t>
  </si>
  <si>
    <t>Qohélet 11, 9—12, 8</t>
  </si>
  <si>
    <t>Job 1, 6-22</t>
  </si>
  <si>
    <t>Salmo 16, 1. 2-3. 6-7</t>
  </si>
  <si>
    <t>Job 3, 1-3. 11-17. 20-23</t>
  </si>
  <si>
    <t>Salmo 87, 2-3. 4-5. 6. 7-8</t>
  </si>
  <si>
    <t>Job 9, 1-12. 14-16</t>
  </si>
  <si>
    <t>Salmo 87, 10bc-11. 12-13. 14-15</t>
  </si>
  <si>
    <t>Job 19, 21-27</t>
  </si>
  <si>
    <t>Salmo 26, 7-8a. 8b-9abc. 13-14</t>
  </si>
  <si>
    <t>Job 38, 1. 12-21; 40, 3-5</t>
  </si>
  <si>
    <t>Salmo 138, 1-3, 7-8. 9-10. 13-14ab</t>
  </si>
  <si>
    <t>Job 42, 1-3. 5-6. 12-16</t>
  </si>
  <si>
    <t>Salmo 118, 66. 71. 75. 91. 125. 130</t>
  </si>
  <si>
    <t>Gálatas 1, 6-12</t>
  </si>
  <si>
    <t>Salmo 110, 1-2. 7-8. 9 y 10</t>
  </si>
  <si>
    <t>Gálatas 1, 13-24</t>
  </si>
  <si>
    <t>Salmo 138, 1-3. 13-14ab. 14c-15</t>
  </si>
  <si>
    <t>Gálatas 2, 1-2. 7-14</t>
  </si>
  <si>
    <t>Salmo 116, 1. 2</t>
  </si>
  <si>
    <t>Gálatas 3, 1-5</t>
  </si>
  <si>
    <t>Lucas 1. 69-70, 71-72. 73-75</t>
  </si>
  <si>
    <t>Gálatas 3, 7-14</t>
  </si>
  <si>
    <t>Gálatas 3, 22-29</t>
  </si>
  <si>
    <t>Gálatas 4, 22-24. 26-27. 31—5, 1</t>
  </si>
  <si>
    <t>Salmo 112, 1-2. 3-4. 5a y 6-7</t>
  </si>
  <si>
    <t>Lucas 11, 29-32</t>
  </si>
  <si>
    <t>Gálatas 5, 1-6</t>
  </si>
  <si>
    <t>Salmo 118, 41. 43. 44. 45. 47. 48</t>
  </si>
  <si>
    <t>Lucas 11, 37-41</t>
  </si>
  <si>
    <t>Gálatas 5, 18-25</t>
  </si>
  <si>
    <t>Salmo 1, 1-2. 3. 4 y 6 </t>
  </si>
  <si>
    <t>Lucas 11, 42-46</t>
  </si>
  <si>
    <t>Efesios 1, 1-10</t>
  </si>
  <si>
    <t>Lucas 11, 47-54</t>
  </si>
  <si>
    <t>Efesios 1, 11-14</t>
  </si>
  <si>
    <t>Salmo 32. 1-2. 4-5. 12-13</t>
  </si>
  <si>
    <t>Sal 32, 22</t>
  </si>
  <si>
    <t>Lucas 12, 1-7</t>
  </si>
  <si>
    <t>Efesios 1, 15-23</t>
  </si>
  <si>
    <t>Salmo 8, 2-3a. 4-5. 6-7</t>
  </si>
  <si>
    <t>Jn 15, 26b. 27a</t>
  </si>
  <si>
    <t>Lucas 12, 8-12</t>
  </si>
  <si>
    <t>Efesios 2, 1-10</t>
  </si>
  <si>
    <t>Lucas 12, 13-21</t>
  </si>
  <si>
    <t>Efesios 2, 12-22</t>
  </si>
  <si>
    <t>Lucas 12, 35-38</t>
  </si>
  <si>
    <t>Efesios 3, 2-12</t>
  </si>
  <si>
    <t>Isaías 12, 2-3. 4bcd. 5-6</t>
  </si>
  <si>
    <t>Lucas 12, 39-48</t>
  </si>
  <si>
    <t>Efesios 3, 14-21</t>
  </si>
  <si>
    <t>Salmo 32, 1-2. 4-5. 11-12. 18-19</t>
  </si>
  <si>
    <t>Lucas 12, 49-53</t>
  </si>
  <si>
    <t>Efesios 4, 1-6</t>
  </si>
  <si>
    <t>Salmo 23, 1-2. 3-4ab. 5-6 </t>
  </si>
  <si>
    <t>Lucas 12, 54-59</t>
  </si>
  <si>
    <t>Efesios 4, 7-16</t>
  </si>
  <si>
    <t>Ez 33,11</t>
  </si>
  <si>
    <t>Lucas 13, 1-9</t>
  </si>
  <si>
    <t>Efesios 4, 32—5, 8</t>
  </si>
  <si>
    <t>Salmo 1, 1-2. 3. 4 y 6</t>
  </si>
  <si>
    <t>Lucas 13, 10-17</t>
  </si>
  <si>
    <t>Efesios 5, 21-33</t>
  </si>
  <si>
    <t>Lucas 13, 18-21</t>
  </si>
  <si>
    <t>Efesios 6, 1-9</t>
  </si>
  <si>
    <t>Salmo 144, 10-11. 12-13ab. 13cd-14</t>
  </si>
  <si>
    <t>Lucas 13, 22-30</t>
  </si>
  <si>
    <t>Efesios 6, 10-20</t>
  </si>
  <si>
    <t>Lc 19, 38</t>
  </si>
  <si>
    <t>Lucas 13, 31-35</t>
  </si>
  <si>
    <t>Filipenses 1, 1-11</t>
  </si>
  <si>
    <t>Salmo 110, 1-2. 3-4. 5-6 </t>
  </si>
  <si>
    <t>Lucas 14, 1-6</t>
  </si>
  <si>
    <t>Filipenses 1, 18b-26</t>
  </si>
  <si>
    <t>Salmo 41, 2. 3. 5bcd</t>
  </si>
  <si>
    <t>Lucas 14, 1. 7-11</t>
  </si>
  <si>
    <t>Filipenses 2, 1-4</t>
  </si>
  <si>
    <t>Salmo 130, 1. 2. 3</t>
  </si>
  <si>
    <t>Jn 8, 31b-32</t>
  </si>
  <si>
    <t>Lucas 14, 12-14</t>
  </si>
  <si>
    <t>Filipenses 2, 5-11</t>
  </si>
  <si>
    <t>Salmo 21, 26b-27. 28-30a. 31-32</t>
  </si>
  <si>
    <t>Lucas 14, 15-24</t>
  </si>
  <si>
    <t>Filipenses 2, 12-18</t>
  </si>
  <si>
    <t>Lucas 14, 25-33</t>
  </si>
  <si>
    <t>Filipenses 3, 3-8a</t>
  </si>
  <si>
    <t>Salmo 104. 2-3. 4-5. 6-7</t>
  </si>
  <si>
    <t>Lucas 15, 1-10</t>
  </si>
  <si>
    <t>Filipenses 3, 17—4, 1</t>
  </si>
  <si>
    <t>Salmo 121, 1-2. 4-5</t>
  </si>
  <si>
    <t>Lucas 16, 1-8</t>
  </si>
  <si>
    <t>Filipenses 4, 10-19</t>
  </si>
  <si>
    <t>Salmo 111, 1-2. 5-6. 8a y 9 </t>
  </si>
  <si>
    <t>Lucas 16, 9-15</t>
  </si>
  <si>
    <t>Tito 1, 1-9</t>
  </si>
  <si>
    <t>Flp 2, 15d. 16a</t>
  </si>
  <si>
    <t>Lucas 17, 1-6</t>
  </si>
  <si>
    <t>Tito 2, 1-8. 11-14</t>
  </si>
  <si>
    <t>Salmo 36, 3-4. 18 y 23. 27 y 29</t>
  </si>
  <si>
    <t>Lucas 17, 7-10</t>
  </si>
  <si>
    <t>Tito 3, 1-7</t>
  </si>
  <si>
    <t>Salmo 22, 1-3a. 3b-4. 5. 6 </t>
  </si>
  <si>
    <t>1Ts 5, 18</t>
  </si>
  <si>
    <t>Lucas 17, 11-19</t>
  </si>
  <si>
    <t>Filemón 7-20</t>
  </si>
  <si>
    <t>Jn 15, 5</t>
  </si>
  <si>
    <t>Lucas 17, 20-25</t>
  </si>
  <si>
    <t>2 Juan 4-9</t>
  </si>
  <si>
    <t>Salmo 118, 1. 2. 10. 11. 17. 18</t>
  </si>
  <si>
    <t>Lc 21, 28</t>
  </si>
  <si>
    <t>Lucas 17, 26-37</t>
  </si>
  <si>
    <t>3 Juan 5-8</t>
  </si>
  <si>
    <t>Lucas 18, 1-8</t>
  </si>
  <si>
    <t>Apocalipsis 1, 1-4; 2, 1-5a</t>
  </si>
  <si>
    <t>Lucas 18, 35-43</t>
  </si>
  <si>
    <t>Apocalipsis 3, 1-6. 14-22</t>
  </si>
  <si>
    <t>Salmo 14, 2-3ab. 3cd-4ab. 5</t>
  </si>
  <si>
    <t>1Jn 4, 10b</t>
  </si>
  <si>
    <t>Lucas 19, 1-10</t>
  </si>
  <si>
    <t>Apocalipsis 4, 1-11</t>
  </si>
  <si>
    <t>Salmo 150, 1-2. 3-4. 5-6</t>
  </si>
  <si>
    <t>Lucas 19, 11-28</t>
  </si>
  <si>
    <t>Apocalipsis 5, 1-10</t>
  </si>
  <si>
    <t>Lucas 19, 41-44</t>
  </si>
  <si>
    <t>Apocalipsis 10, 8-11</t>
  </si>
  <si>
    <t>Lucas 19, 45-48</t>
  </si>
  <si>
    <t>Apocalipsis 11, 4-12</t>
  </si>
  <si>
    <t>Lucas 20, 27-40</t>
  </si>
  <si>
    <t>Apocalipsis 14, 1-3. 4b-5</t>
  </si>
  <si>
    <t>Lucas 21, 1-4</t>
  </si>
  <si>
    <t>Apocalipsis 14, 14-19</t>
  </si>
  <si>
    <t>Ap 2, 10c</t>
  </si>
  <si>
    <t>Lucas 21, 5-11</t>
  </si>
  <si>
    <t>Apocalipsis 15, 1-4</t>
  </si>
  <si>
    <t>Salmo 97, 1. 2-3ab. 7-8. 9</t>
  </si>
  <si>
    <t>Lucas 21, 12-19</t>
  </si>
  <si>
    <t>Apocalipsis 18, 1-2. 21-23; 19, 1-3. 9a</t>
  </si>
  <si>
    <t>Salmo 99, 2. 3. 4. 5 </t>
  </si>
  <si>
    <t>Lucas 21 ,20-28</t>
  </si>
  <si>
    <t>Apocalipsis 20, 1-4. 11—21, 2</t>
  </si>
  <si>
    <t>Salmo 83, 3. 4. 5-6a y 8a</t>
  </si>
  <si>
    <t>Lucas 21, 29-33</t>
  </si>
  <si>
    <t>Apocalipsis 22, 1-7</t>
  </si>
  <si>
    <t>Salmo 94, 1-2. 3-5. 6-7 </t>
  </si>
  <si>
    <t>Lucas 21, 34-36</t>
  </si>
  <si>
    <t>Salmo 96, 1 y 2b. 6 y 7c. 9</t>
  </si>
  <si>
    <t>Hebreos 2, 5-12</t>
  </si>
  <si>
    <t>Salmo 8, 2 a y 5. 6-7. 8-9</t>
  </si>
  <si>
    <t>Hebreos 2, 14-18</t>
  </si>
  <si>
    <t>Salmo 104, 1-2. 3-4. 6-7. 8-9</t>
  </si>
  <si>
    <t>Jn 10, 27</t>
  </si>
  <si>
    <t>Marcos 1, 29-39</t>
  </si>
  <si>
    <t>Hebreos 3, 7-14</t>
  </si>
  <si>
    <t>Salmo 94, 6-7. 8-9. 10-11</t>
  </si>
  <si>
    <t>Marcos 1, 40-45</t>
  </si>
  <si>
    <t>Hebreos 4, 1-5. 11</t>
  </si>
  <si>
    <t>Salmo 77, 3 y 4bc. 6c-7. 8</t>
  </si>
  <si>
    <t>Hebreos 4, 12-16</t>
  </si>
  <si>
    <t>Hebreos 5,1-10</t>
  </si>
  <si>
    <t>Salmo 109, 1. 2. 3. 4</t>
  </si>
  <si>
    <t>Hebreos 6, 10-20</t>
  </si>
  <si>
    <t>Salmo 110, 1-2. 4-5. 9 y 10c</t>
  </si>
  <si>
    <t>Hebreos 7, 1-3. 15-17</t>
  </si>
  <si>
    <t>Hebreos 7, 25—8, 6</t>
  </si>
  <si>
    <t>Hebreos 8, 6-13</t>
  </si>
  <si>
    <t>Salmo 84, 8 y 10. 11-12. 13-14</t>
  </si>
  <si>
    <t>Hebreos 9, 2-3. 11-14</t>
  </si>
  <si>
    <t>Hebreos 9, 15. 24-28</t>
  </si>
  <si>
    <t>Hebreos 10, 1-10</t>
  </si>
  <si>
    <t>Salmo 39, 2 y 4ab. 7-8a. 10. 11</t>
  </si>
  <si>
    <t>Hebreos 10, 11-18</t>
  </si>
  <si>
    <t>Hebreos 10, 19-25</t>
  </si>
  <si>
    <t>118, 105</t>
  </si>
  <si>
    <t>Hebreos 10, 32-39</t>
  </si>
  <si>
    <t>Salmo 36, 3-4. 5-6. 23-24. 39-40</t>
  </si>
  <si>
    <t>Hebreos 11, 1-2. 8-19</t>
  </si>
  <si>
    <t>Lucas 1, 69-70. 71-72. 73-75 </t>
  </si>
  <si>
    <t>Hebreos 11, 32-40</t>
  </si>
  <si>
    <t>Salmo 30, 20. 21. 22. 23. 24</t>
  </si>
  <si>
    <t>Hebreos 12, 1-4</t>
  </si>
  <si>
    <t>Salmo 21, 26b-27. 28 y 30. 31-32</t>
  </si>
  <si>
    <t>Hebreos 12, 4-7. 11-15</t>
  </si>
  <si>
    <t>Salmo 102, 1-2. 13-14. 17-18a</t>
  </si>
  <si>
    <t>Hebreos 12, 18-19. 21-24</t>
  </si>
  <si>
    <t>Salmo 47, 2-3ab. 3cd-4. 9. 10-11</t>
  </si>
  <si>
    <t>Hebreos 13, 1-8</t>
  </si>
  <si>
    <t>Salmo 26, 1. 3. 5. 8b-9abc</t>
  </si>
  <si>
    <t>Hebreos 13, 15-17. 20-21</t>
  </si>
  <si>
    <t>Marcos 6 ,30-34</t>
  </si>
  <si>
    <t>Génesis 1, 1-19</t>
  </si>
  <si>
    <t>Salmo 103, 1-2a. 5-6. 10 y 12. 24 y 35c</t>
  </si>
  <si>
    <t>Génesis 1, 20—2, 4a</t>
  </si>
  <si>
    <t>Salmo 8, 4-5. 6-7. 8-9</t>
  </si>
  <si>
    <t>Génesis 2, 4b-9. 15-17</t>
  </si>
  <si>
    <t>Salmo 103, 1-2a. 27-28. 29bc-30</t>
  </si>
  <si>
    <t>Génesis 2, 18-25</t>
  </si>
  <si>
    <t>St 1, 21bc</t>
  </si>
  <si>
    <t>Génesis 3, 1-8</t>
  </si>
  <si>
    <t>Salmo 31, 1-2. 5. 6. 7</t>
  </si>
  <si>
    <t>Génesis 3, 9-24</t>
  </si>
  <si>
    <t>Salmo 89, 2. 3-4. 5-6. 12-13</t>
  </si>
  <si>
    <t>Génesis 4, 1-15. 25</t>
  </si>
  <si>
    <t>Salmo 49, 1 y 8. 16bc-17. 20-21</t>
  </si>
  <si>
    <t>Génesis 6, 5-8; 7, 1-5. 10</t>
  </si>
  <si>
    <t>Salmo 28, 1a y 2. 3ac-4. 3b y 9c-10</t>
  </si>
  <si>
    <t>Génesis 8, 6-13. 20-22</t>
  </si>
  <si>
    <t>Salmo 115, 12-13. 14-15. 18-19</t>
  </si>
  <si>
    <t>Génesis 9, 1-13</t>
  </si>
  <si>
    <t>Génesis 11, 1-9</t>
  </si>
  <si>
    <t>Salmo 32, 10-11. 12-13. 14-15</t>
  </si>
  <si>
    <t>Hebreos 11, 1-7</t>
  </si>
  <si>
    <t>Salmo 144, 2-3. 4-5. 10-11</t>
  </si>
  <si>
    <t>Marcos 9, 2-13</t>
  </si>
  <si>
    <t>Sirácida 1, 1-10</t>
  </si>
  <si>
    <t>Salmo 92, 1ab. 1c-2. 5</t>
  </si>
  <si>
    <t>Sirácida 2, 1-13</t>
  </si>
  <si>
    <t>Salmo 36, 3-4. 18-19. 27-28. 39-40 </t>
  </si>
  <si>
    <t>Sirácida 4, 12-22</t>
  </si>
  <si>
    <t>Salmo 118, 165. 168. 171. 172. 174. 175</t>
  </si>
  <si>
    <t>Sirácida 5, 1-10</t>
  </si>
  <si>
    <t>Sirácida 6, 5-17</t>
  </si>
  <si>
    <t>Salmo 118, 12. 16. 18. 27. 34. 35</t>
  </si>
  <si>
    <t>Sirácida 17, 1-13</t>
  </si>
  <si>
    <t>Salmo 102, 13-14. 15-16. 17-18a</t>
  </si>
  <si>
    <t>Sirácida 17, 20-28</t>
  </si>
  <si>
    <t>Sirácida 35, 1-15</t>
  </si>
  <si>
    <t>Salmo 49, 5-6. 7-8. 14 y 23</t>
  </si>
  <si>
    <t>Sirácida 36, 1-2a. 5-6. 13-19</t>
  </si>
  <si>
    <t>Salmo 78, 8. 9. 11. 13</t>
  </si>
  <si>
    <t>Sirácida 42, 15-26</t>
  </si>
  <si>
    <t>Salmo 32, 2-3. 4-5. 6-7. 8-9</t>
  </si>
  <si>
    <t>Sirácida 44, 1. 9-13</t>
  </si>
  <si>
    <t>Salmo149, 1-2. 3-4. 5-6a y 9b</t>
  </si>
  <si>
    <t>Sirácida 51, 17-27</t>
  </si>
  <si>
    <t>Col 3, 16a. 17c</t>
  </si>
  <si>
    <t>Tobías 1, 3; 2, 1b-8</t>
  </si>
  <si>
    <t>Tobías 2, 9-14</t>
  </si>
  <si>
    <t>Salmo 111, 1-2. 7-8. 9</t>
  </si>
  <si>
    <t>Tobías 3, 1-11a. 16-17a</t>
  </si>
  <si>
    <t>Salmo 24, 2-3a. 4-5ab. 6-7bc. 8-9</t>
  </si>
  <si>
    <t>Tobías 6, 10-11; 7, 1. 9-17; 8, 4-9a</t>
  </si>
  <si>
    <t>Tobías 11, 5-17</t>
  </si>
  <si>
    <t>Salmo 145, 1-2. 6b-7. 8-9a. 9bc-10 </t>
  </si>
  <si>
    <t>Tobías 12, 1. 5-15. 20</t>
  </si>
  <si>
    <t>Tobías 13, 2. 6. 7. 8</t>
  </si>
  <si>
    <t>2 Corintios 1, 1-7</t>
  </si>
  <si>
    <t>Salmo 33, 2-3. 4-5. 6-7. 8-9</t>
  </si>
  <si>
    <t>Mt 5, 12a</t>
  </si>
  <si>
    <t>2 Corintios 1, 18-22</t>
  </si>
  <si>
    <t>Salmo 118, 129. 130. 131. 132. 133. 135</t>
  </si>
  <si>
    <t>Mateo 5 13-16</t>
  </si>
  <si>
    <t>2 Corintios 3, 4-11</t>
  </si>
  <si>
    <t>Salmo 98, 5. 6. 7. 8. 9 </t>
  </si>
  <si>
    <t>2 Corintios 3, 15—4, 1. 3-6</t>
  </si>
  <si>
    <t>2 Corintios 4, 7-15</t>
  </si>
  <si>
    <t>Salmo 115, 10-11. 15-16. 17-18</t>
  </si>
  <si>
    <t>2 Corintios 5, 14-21</t>
  </si>
  <si>
    <t>2 Corintios 6, 1-10</t>
  </si>
  <si>
    <t>Salmo 97, 1. 2-3ab. 3cd-4</t>
  </si>
  <si>
    <t>2 Corintios 8, 1-9</t>
  </si>
  <si>
    <t>Salmo 145, 2. 5-6. 7. 8-9a</t>
  </si>
  <si>
    <t>2 Corintios 9, 6-11</t>
  </si>
  <si>
    <t>Salmo 111, 1-2. 3-4. 9</t>
  </si>
  <si>
    <t>2 Corintios 11, 1-11</t>
  </si>
  <si>
    <t>Salmo 110, 1-2. 3-4. 7-8 </t>
  </si>
  <si>
    <t>2 Corintios 11, 18. 21b-30</t>
  </si>
  <si>
    <t>2 Corintios 12, 1-10</t>
  </si>
  <si>
    <t>Salmo 33, 8-9. 10-11. 12-13</t>
  </si>
  <si>
    <t>Génesis 12, 1-9</t>
  </si>
  <si>
    <t>Salmo 32, 12-13. 18-19. 20 y 22</t>
  </si>
  <si>
    <t>Génesis 13, 2. 5-18</t>
  </si>
  <si>
    <t>Salmo 14, 2-3a. 3bc-4ab. 5</t>
  </si>
  <si>
    <t>Génesis 15, 1-12. 17-18</t>
  </si>
  <si>
    <t>Jn 15, 4a. 5b</t>
  </si>
  <si>
    <t>Génesis 16 ,1-12. 15-16 / Génesis 16, 6b-12, 15-16</t>
  </si>
  <si>
    <t>Salmo 105, 1-2. 3-4a. 4b-5</t>
  </si>
  <si>
    <t>Génesis 17, 1. 9-10. 15-22</t>
  </si>
  <si>
    <t>Génesis 18, 1-15</t>
  </si>
  <si>
    <t>Lucas 1, 46-47. 48-49. 50 y 53. 54-55</t>
  </si>
  <si>
    <t>Génesis 18, 16-33</t>
  </si>
  <si>
    <t>Salmo 102, 1-2. 3-4. 8-9. 10-11</t>
  </si>
  <si>
    <t>Sal 94 ,8ab</t>
  </si>
  <si>
    <t>Génesis 19, 15-29</t>
  </si>
  <si>
    <t>Salmo 25. 2-3. 9-10. 11-12</t>
  </si>
  <si>
    <t>Génesis 21, 5. 8-20</t>
  </si>
  <si>
    <t>Salmo 33, 7-8. 10-11. 12-13</t>
  </si>
  <si>
    <t>Génesis 22, 1-19</t>
  </si>
  <si>
    <t>Salmo 114, 1-2. 3-4. 5-6. 8-9 </t>
  </si>
  <si>
    <t>Génesis 23, 1-4. 19; 24, 1-8. 62-67</t>
  </si>
  <si>
    <t>Génesis 27, 1-5. 15-29</t>
  </si>
  <si>
    <t>Salmo 134, 1-2. 3-4. 5-6</t>
  </si>
  <si>
    <t>Génesis 28, 10-22a</t>
  </si>
  <si>
    <t>Salmo 90, 1-2. 3-4. 14-15ab</t>
  </si>
  <si>
    <t>Génesis 32, 22-32</t>
  </si>
  <si>
    <t>Salmo 16, 1. 2-3. 6-7. 8 y 15</t>
  </si>
  <si>
    <t>Génesis 41, 55-57; 42, 5-7.1 7-24a</t>
  </si>
  <si>
    <t>Salmo 32, 2-3. 10-11. 18-19</t>
  </si>
  <si>
    <t>Génesis 44, 18-21. 23b-29; 45, 1-5</t>
  </si>
  <si>
    <t>Salmo 104, 16-17. 18-19. 20-21</t>
  </si>
  <si>
    <t>Génesis 46, 1-7. 28-30</t>
  </si>
  <si>
    <t>Salmo 36, 3-4. 18-19. 27-28. 39-40</t>
  </si>
  <si>
    <t>Jn 16, 13a; 14, 26d</t>
  </si>
  <si>
    <t>Génesis 49, 29-32; 50, 15-26a</t>
  </si>
  <si>
    <t>Salmo 104, 1-2. 3-4. 6-7 </t>
  </si>
  <si>
    <t>Éxodo 1, 8-14. 22</t>
  </si>
  <si>
    <t>Salmo 123, 1-3. 4-6. 7-8</t>
  </si>
  <si>
    <t>Éxodo 2, 1-15a</t>
  </si>
  <si>
    <t>Salmo 68, 3. 14. 30-31. 33-34</t>
  </si>
  <si>
    <t>Éxodo 3, 1-6. 9-12</t>
  </si>
  <si>
    <t>Salmo 102, 1-2. 3-4. 6-7 </t>
  </si>
  <si>
    <t>Éxodo 3, 13-20</t>
  </si>
  <si>
    <t>Salmo 104, 1 y 5. 8-9. 24-25. 26-27 </t>
  </si>
  <si>
    <t>Éxodo 11, 10—12, 14</t>
  </si>
  <si>
    <t>Éxodo 12, 37-42</t>
  </si>
  <si>
    <t>Salmo 135, 1. 23. 24. 10. 12. 13-15</t>
  </si>
  <si>
    <t>Éxodo 14, 5-18</t>
  </si>
  <si>
    <t>Éxodo 15, 1-2. 3-4. 5-6</t>
  </si>
  <si>
    <t>Éxodo 14, 21—15, 1</t>
  </si>
  <si>
    <t>Éxodo 15, 8-9. 10 y 12. 17, 17 </t>
  </si>
  <si>
    <t>Éxodo 16, 1-5. 9-15</t>
  </si>
  <si>
    <t>Salmo 77, 18-19. 23-24. 25-26. 27-28</t>
  </si>
  <si>
    <t>Éxodo 19, 1-2. 9-11. 16-20b</t>
  </si>
  <si>
    <t>Éxodo 20, 1-17</t>
  </si>
  <si>
    <t>Salmo 18, 8. 9. 10. 11 </t>
  </si>
  <si>
    <t>Éxodo 24, 3-8</t>
  </si>
  <si>
    <t>Salmo 49, 1-2. 5-6. 14-15 </t>
  </si>
  <si>
    <t>Éxodo 32, 15-24. 30-34</t>
  </si>
  <si>
    <t>Salmo 105, 19-20. 21-22. 23 </t>
  </si>
  <si>
    <t>Éxodo 33, 7-11; 34, 5b-9. 28</t>
  </si>
  <si>
    <t>Salmo 102, 6-7. 8-9. 10-11. 12-13 </t>
  </si>
  <si>
    <t>Éxodo 34, 29-35</t>
  </si>
  <si>
    <t>Salmo 98, 5. 6. 7. 9 </t>
  </si>
  <si>
    <t>Éxodo 40, 16-21. 34-38</t>
  </si>
  <si>
    <t>Salmo 83, 3. 4. 5-6a y 8a. 11</t>
  </si>
  <si>
    <t>Levítico 23, 1. 4-11. 15-16. 27. 34b-37</t>
  </si>
  <si>
    <t>Salmo 80, 3-4. 5-6ab. 10-11ab</t>
  </si>
  <si>
    <t>Levítico 25, 1. 8-17</t>
  </si>
  <si>
    <t>Salmo 66, 2-3. 5. 7-8 </t>
  </si>
  <si>
    <t>Números 11, 4b-15</t>
  </si>
  <si>
    <t>Salmo 80, 12-13. 14-15. 16-17</t>
  </si>
  <si>
    <t>Números 12, 1-13</t>
  </si>
  <si>
    <t>Salmo 50, 3-4. 5-6. 12-13</t>
  </si>
  <si>
    <t>Números 13, 1-2. 25—14, 1. 26-30. 34-35</t>
  </si>
  <si>
    <t>Salmo 105, 6-7a. 13-14. 21-22. 23</t>
  </si>
  <si>
    <t>Números 20, 1-13</t>
  </si>
  <si>
    <t>Salmo 94, 1-2. 6-7. 8-9 </t>
  </si>
  <si>
    <t>Deuteronomio 4, 32-40</t>
  </si>
  <si>
    <t>Salmo 76, 12-13. 14-15. 16 y 21 </t>
  </si>
  <si>
    <t>Mateo 16 ,24-28</t>
  </si>
  <si>
    <t>Deuteronomio 6, 4-13</t>
  </si>
  <si>
    <t>Salmo 17, 28-3a. 3bc-4. 47 y 51ab</t>
  </si>
  <si>
    <t>Deuteronomio 10, 12-22</t>
  </si>
  <si>
    <t>Deuteronomio 31, 1-8</t>
  </si>
  <si>
    <t>Deuteronomio 32, 3-4a. 7. 8. 9 y 12 </t>
  </si>
  <si>
    <t>Deuteronomio 34, 1-12</t>
  </si>
  <si>
    <t>Salmo 65, 1-3a. 5 y 8. 16-17 </t>
  </si>
  <si>
    <t>Josué 3, 7-10a. 11. 13-17</t>
  </si>
  <si>
    <t>Salmo 113A, 1-2. 3-4. 5-6</t>
  </si>
  <si>
    <t>Mateo 18, 21—19, 1</t>
  </si>
  <si>
    <t>Josué 24, 1-13</t>
  </si>
  <si>
    <t>Salmo 135, 1-3. 16-18. 21-22 y 24</t>
  </si>
  <si>
    <t>Josué 24, 14-29</t>
  </si>
  <si>
    <t>Jueces 2, 11-19</t>
  </si>
  <si>
    <t>Salmo 105, 34-35. 36-37. 39-40. 43ab y 44</t>
  </si>
  <si>
    <t>Jueces 6, 11-24a</t>
  </si>
  <si>
    <t>Jueces 9, 6-15</t>
  </si>
  <si>
    <t>Salmo 20, 2-3. 4-5. 6-7 </t>
  </si>
  <si>
    <t>Jueces 11, 29-39a</t>
  </si>
  <si>
    <t>Salmo 39, 5. 7-8a. 8b-9. 10</t>
  </si>
  <si>
    <t>Rut 1, 1. 3-6. 14b-16. 22</t>
  </si>
  <si>
    <t>Salmo 145, 5-6ab. 6c-7. 8-9a. 9bc-10</t>
  </si>
  <si>
    <t>Salmo 127, 1-2. 3. 4. 5 </t>
  </si>
  <si>
    <t>Mt 23, 9b. 10b</t>
  </si>
  <si>
    <t>Salmo 97, 1. 2-3ab. 3cd-4 </t>
  </si>
  <si>
    <t>Romanos 1, 16-25</t>
  </si>
  <si>
    <t>Salmo 18, 2-3. 4-5 </t>
  </si>
  <si>
    <t>Romanos 2, 1-11</t>
  </si>
  <si>
    <t>Salmo 61, 2-3. 6-7. 9</t>
  </si>
  <si>
    <t>Romanos 3, 21-30a</t>
  </si>
  <si>
    <t>Salmo 129, 1-2. 3-4. 5 </t>
  </si>
  <si>
    <t>Romanos 4, 1-8</t>
  </si>
  <si>
    <t>Salmo 31, 1-2. 5. 11</t>
  </si>
  <si>
    <t>Romanos 4, 13. 16-18</t>
  </si>
  <si>
    <t>Salmo 104, 6-7. 8-9. 42-43</t>
  </si>
  <si>
    <t>Romanos 4, 20-25</t>
  </si>
  <si>
    <t>Lucas 1, 69-70. 71-72. 73-75</t>
  </si>
  <si>
    <t>Romanos 5, 12. 15b. 17-19. 20b-21</t>
  </si>
  <si>
    <t>Romanos 6, 12-18</t>
  </si>
  <si>
    <t>Romanos 6, 19-23</t>
  </si>
  <si>
    <t>Romanos 7, 18-25a</t>
  </si>
  <si>
    <t>Salmo 118, 66. 68. 76. 77. 93. 94</t>
  </si>
  <si>
    <t>Romanos 8, 1-11</t>
  </si>
  <si>
    <t>Ez 33, 11</t>
  </si>
  <si>
    <t>Romanos 8, 12-17</t>
  </si>
  <si>
    <t>Salmo 67, 2 y 4. 6-7ab. 20-21</t>
  </si>
  <si>
    <t>Romanos 8, 18-25</t>
  </si>
  <si>
    <t>Romanos 8, 26-30</t>
  </si>
  <si>
    <t>Salmo 12, 4-5. 6</t>
  </si>
  <si>
    <t>Romanos 8, 31b-39</t>
  </si>
  <si>
    <t>Salmo 108, 21-22. 26-27. 30-31</t>
  </si>
  <si>
    <t>Romanos 9, 1-5</t>
  </si>
  <si>
    <t>Romanos 11, 1-2a. 11-12. 25-29</t>
  </si>
  <si>
    <t>Salmo 93, 12-13a. 14-15. 17-18</t>
  </si>
  <si>
    <t>Romanos 11 ,29-36</t>
  </si>
  <si>
    <t>Salmo 68, 30-31. 33-34. 36-37 </t>
  </si>
  <si>
    <t>Romanos 12, 5-16a</t>
  </si>
  <si>
    <t>Romanos 13, 8-10</t>
  </si>
  <si>
    <t>Salmo 111, 1-2. 4-5. 9 </t>
  </si>
  <si>
    <t>Romanos 14 ,7-12</t>
  </si>
  <si>
    <t>Romanos 15, 14-21</t>
  </si>
  <si>
    <t>Romanos 16, 3-9. 16. 22-27</t>
  </si>
  <si>
    <t>Sabiduría 1, 1-7</t>
  </si>
  <si>
    <t>Salmo 138, 1-3a. 3b-6. 7-8. 9-10 </t>
  </si>
  <si>
    <t>Sabiduría 2, 23—3, 9</t>
  </si>
  <si>
    <t>Salmo 33, 2-3. 16-17. 18-19</t>
  </si>
  <si>
    <t>Sabiduría 6, 1-11</t>
  </si>
  <si>
    <t>Salmo 81, 3-4. 6-7</t>
  </si>
  <si>
    <t>Sabiduría 7, 22—8, 1</t>
  </si>
  <si>
    <t>Salmo 118, 89. 90. 91. 130. 135. 175</t>
  </si>
  <si>
    <t>Sabiduría 13, 1-9</t>
  </si>
  <si>
    <t>Sabiduría 18, 14-16; 19, 6-9</t>
  </si>
  <si>
    <t>Salmo 104, 2-3. 36-37. 42-43</t>
  </si>
  <si>
    <t>Macabeos 1, 10-15. 41-43. 54-57. 62-64</t>
  </si>
  <si>
    <t>Salmo 118, 53. 61. 134. 150. 155. 158</t>
  </si>
  <si>
    <t>Salmo 3, 2-3. 4-5. 6-7</t>
  </si>
  <si>
    <t>Salmo 16, 1. 56. 8ab y 15</t>
  </si>
  <si>
    <t>Salmo 49, 1-2. 5-6. 14-15</t>
  </si>
  <si>
    <t>1Crónicas 29, 10. 11abc. 11d-12a. 12bcd</t>
  </si>
  <si>
    <t>1 Macabeos 6, 1-13</t>
  </si>
  <si>
    <t>1 Macabeos 4, 36-37. 52-59</t>
  </si>
  <si>
    <t>1 Macabeos 2, 15-29</t>
  </si>
  <si>
    <t>1 Macabeos 6, 18-31</t>
  </si>
  <si>
    <t>1 Macabeos 7, 1. 20-31</t>
  </si>
  <si>
    <t>Salmo 9, 2-3. 4 y 6. 16 y 19</t>
  </si>
  <si>
    <t>Daniel 1, 1-6. 8-20</t>
  </si>
  <si>
    <t>Daniel 2, 31-45</t>
  </si>
  <si>
    <t>Daniel 3, 57. 58. 59. 60. 61.</t>
  </si>
  <si>
    <t>Daniel 5, 1-6. 13-14. 16-17. 23-28</t>
  </si>
  <si>
    <t>Daniel 3, 62. 63. 64. 65. 66. 67</t>
  </si>
  <si>
    <t>Daniel 6, 12-28</t>
  </si>
  <si>
    <t>Daniel 3, 68. 69. 70. 71. 72. 73. 74</t>
  </si>
  <si>
    <t>Lucas 21, 20-28</t>
  </si>
  <si>
    <t>Daniel 7, 2-14</t>
  </si>
  <si>
    <t>Daniel 3, 75. 76. 77. 78. 79. 80. 81</t>
  </si>
  <si>
    <t>Daniel 7, 15-27</t>
  </si>
  <si>
    <t>Daniel 3, 82. 83. 84. 85. 86. 87</t>
  </si>
  <si>
    <t>JUEVES</t>
  </si>
  <si>
    <t>VIERNES</t>
  </si>
  <si>
    <t>SABADO</t>
  </si>
  <si>
    <t>MIERCOLES</t>
  </si>
  <si>
    <t>LUNES</t>
  </si>
  <si>
    <t>MARTES</t>
  </si>
  <si>
    <t>Total (USD) 456.43 Total (Tipo de Cambio: 61.10 DOP) 27,887.87</t>
  </si>
  <si>
    <t>DOMINGO</t>
  </si>
  <si>
    <t>abc</t>
  </si>
  <si>
    <t>CU</t>
  </si>
  <si>
    <t>Isaías 2, 1-5 / Isaías 4, 2-6</t>
  </si>
  <si>
    <t>Mateo 8, 5-11</t>
  </si>
  <si>
    <t>Sal 79, 4</t>
  </si>
  <si>
    <t>scorazondeJesus</t>
  </si>
  <si>
    <t>Sagrado corazón de Jesus</t>
  </si>
  <si>
    <t>Adviento</t>
  </si>
  <si>
    <t>L/S</t>
  </si>
  <si>
    <t>a</t>
  </si>
  <si>
    <t>ener 1-12</t>
  </si>
  <si>
    <t>dic 17-31</t>
  </si>
  <si>
    <t>Navidad</t>
  </si>
  <si>
    <t>Misa (Vigilia, Medianoche, Aurora, Día)</t>
  </si>
  <si>
    <t>adviento</t>
  </si>
  <si>
    <t>navidad</t>
  </si>
  <si>
    <t>ordinario</t>
  </si>
  <si>
    <t>cuaresma</t>
  </si>
  <si>
    <t>pascua</t>
  </si>
  <si>
    <t>fiestas</t>
  </si>
  <si>
    <t>La Sagrada Familia de Jesús, María y José</t>
  </si>
  <si>
    <t>San Esteban, protomártir</t>
  </si>
  <si>
    <t>La Natividad del Señor</t>
  </si>
  <si>
    <t>Los Santos Inocentes, mártires</t>
  </si>
  <si>
    <t xml:space="preserve"> San Juan, apóstol y evangelista</t>
  </si>
  <si>
    <t xml:space="preserve"> Día V dentro de la Octava de la Natividad del Señor</t>
  </si>
  <si>
    <t>=IF(D149=(DATE(YEAR(D149),12,31)-WEEKDAY(DATE(YEAR(D149),12,31)-1,1)),Resumen!C18,IF(MONTH(D149)=12,IF(DAY(D149)=25,Resumen!C13,IF(DAY(D149)=26,Resumen!C14,IF(DAY(D149)=27,Resumen!C15,IF(DAY(D149)=28,Resumen!C16,IF(DAY(D149)=29,Resumen!C17,IF(DAY(D149)=30,"",IF(DAY(D149)=31,Resumen!C20,"")))))))),Resumen!C19))</t>
  </si>
  <si>
    <t>Día VI dentro de la Octava de la Natividad del Señor</t>
  </si>
  <si>
    <t>Día VII dentro de la Octava de la Natividad del Señor</t>
  </si>
  <si>
    <t>Santa María, Madre de Dios</t>
  </si>
  <si>
    <t>La Epifanía del Señor</t>
  </si>
  <si>
    <t xml:space="preserve"> El Bautismo del Señor</t>
  </si>
  <si>
    <t>Miercoles de Ceniza</t>
  </si>
  <si>
    <t>Domingo de Ramos</t>
  </si>
  <si>
    <t>Jueves Santo en la Cena del Señor</t>
  </si>
  <si>
    <t>Viernes Santo en la Pasión del Señor</t>
  </si>
  <si>
    <t>Sábado Santo de la Sepultura del Señor</t>
  </si>
  <si>
    <t>Domingo de Pentecostés</t>
  </si>
  <si>
    <t>año</t>
  </si>
  <si>
    <t>día</t>
  </si>
  <si>
    <t>semana</t>
  </si>
  <si>
    <t>tiempo</t>
  </si>
  <si>
    <t>fecha</t>
  </si>
  <si>
    <t>nomemclatura</t>
  </si>
  <si>
    <t>nomemclatura_completa</t>
  </si>
  <si>
    <t>Comentario</t>
  </si>
  <si>
    <t>cuaresma_mc</t>
  </si>
  <si>
    <t>cuaresma_s6_do</t>
  </si>
  <si>
    <t>cuaresma_s6_vi</t>
  </si>
  <si>
    <t>cuaresma_s6_ju</t>
  </si>
  <si>
    <t>cuaresma_s6_sa</t>
  </si>
  <si>
    <t xml:space="preserve"> La Ascensión del Señor</t>
  </si>
  <si>
    <t>pascua_s7_do</t>
  </si>
  <si>
    <t>// Domingo de Pentecostés</t>
  </si>
  <si>
    <t>//  La Santísima Trinidad</t>
  </si>
  <si>
    <t>// El Sagrado Corazón de Jesús</t>
  </si>
  <si>
    <t>// El Cuerpo y la Sangre Santísimos de Cristo</t>
  </si>
  <si>
    <t>// El Nacimiento de San Juan Bautista</t>
  </si>
  <si>
    <t>// Santos Pedro y Pablo, apóstoles</t>
  </si>
  <si>
    <t>//  Nuestro Señor Jesucristo, Rey del Universo</t>
  </si>
  <si>
    <t xml:space="preserve"> Nuestro Señor Jesucristo, Rey del Universo</t>
  </si>
  <si>
    <t>// II Domingo de Natividad</t>
  </si>
  <si>
    <t>//  I Domingo de Natividad</t>
  </si>
  <si>
    <t xml:space="preserve"> San Raimundo de Peñafort, presbítero</t>
  </si>
  <si>
    <t>//  Viernes después de la Epifanía</t>
  </si>
  <si>
    <t>//  Sábado después de la Epifanía</t>
  </si>
  <si>
    <r>
      <t>2027:</t>
    </r>
    <r>
      <rPr>
        <sz val="12"/>
        <color theme="1"/>
        <rFont val="Arial"/>
        <family val="2"/>
      </rPr>
      <t xml:space="preserve"> 10 de febrero</t>
    </r>
  </si>
  <si>
    <r>
      <t>2028:</t>
    </r>
    <r>
      <rPr>
        <sz val="12"/>
        <color theme="1"/>
        <rFont val="Arial"/>
        <family val="2"/>
      </rPr>
      <t xml:space="preserve"> 1 de marzo</t>
    </r>
  </si>
  <si>
    <r>
      <t>2029:</t>
    </r>
    <r>
      <rPr>
        <sz val="12"/>
        <color theme="1"/>
        <rFont val="Arial"/>
        <family val="2"/>
      </rPr>
      <t xml:space="preserve"> 14 de febrero</t>
    </r>
  </si>
  <si>
    <r>
      <t>2030:</t>
    </r>
    <r>
      <rPr>
        <sz val="12"/>
        <color theme="1"/>
        <rFont val="Arial"/>
        <family val="2"/>
      </rPr>
      <t xml:space="preserve"> 6 de marzo</t>
    </r>
  </si>
  <si>
    <r>
      <t>2031:</t>
    </r>
    <r>
      <rPr>
        <sz val="12"/>
        <color theme="1"/>
        <rFont val="Arial"/>
        <family val="2"/>
      </rPr>
      <t xml:space="preserve"> 26 de febrero</t>
    </r>
  </si>
  <si>
    <r>
      <t>2032:</t>
    </r>
    <r>
      <rPr>
        <sz val="12"/>
        <color theme="1"/>
        <rFont val="Arial"/>
        <family val="2"/>
      </rPr>
      <t xml:space="preserve"> 11 de febrero</t>
    </r>
  </si>
  <si>
    <r>
      <t>2033:</t>
    </r>
    <r>
      <rPr>
        <sz val="12"/>
        <color theme="1"/>
        <rFont val="Arial"/>
        <family val="2"/>
      </rPr>
      <t xml:space="preserve"> 2 de marzo</t>
    </r>
  </si>
  <si>
    <r>
      <t>2034:</t>
    </r>
    <r>
      <rPr>
        <sz val="12"/>
        <color theme="1"/>
        <rFont val="Arial"/>
        <family val="2"/>
      </rPr>
      <t xml:space="preserve"> 22 de febrero</t>
    </r>
  </si>
  <si>
    <r>
      <t>2035:</t>
    </r>
    <r>
      <rPr>
        <sz val="12"/>
        <color theme="1"/>
        <rFont val="Arial"/>
        <family val="2"/>
      </rPr>
      <t xml:space="preserve"> 7 de febrero</t>
    </r>
  </si>
  <si>
    <r>
      <t>2036:</t>
    </r>
    <r>
      <rPr>
        <sz val="12"/>
        <color theme="1"/>
        <rFont val="Arial"/>
        <family val="2"/>
      </rPr>
      <t xml:space="preserve"> 27 de febrero [1, 2]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</si>
</sst>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4">
    <font>
      <sz val="11"/>
      <color theme="1"/>
      <name val="Aptos Narrow"/>
      <family val="2"/>
      <scheme val="minor"/>
    </font>
    <font>
      <b/>
      <sz val="7"/>
      <color rgb="FF000000"/>
      <name val="Verdana"/>
      <family val="2"/>
    </font>
    <font>
      <sz val="7"/>
      <color rgb="FFFF0000"/>
      <name val="Verdana"/>
      <family val="2"/>
    </font>
    <font>
      <sz val="11"/>
      <color rgb="FF0061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7"/>
      <color rgb="FF6A9955"/>
      <name val="Consolas"/>
      <family val="3"/>
    </font>
    <font>
      <sz val="15"/>
      <color rgb="FF6A9955"/>
      <name val="Consolas"/>
      <family val="3"/>
    </font>
    <font>
      <b/>
      <sz val="11"/>
      <color rgb="FF000000"/>
      <name val="Verdana"/>
      <family val="2"/>
    </font>
    <font>
      <sz val="11"/>
      <color rgb="FFFF0000"/>
      <name val="Verdana"/>
      <family val="2"/>
    </font>
    <font>
      <sz val="10"/>
      <color theme="1"/>
      <name val="Arial Unicode MS"/>
    </font>
    <font>
      <sz val="15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 applyAlignment="1">
      <alignment horizontal="left" vertical="center" wrapText="1" indent="1"/>
    </xf>
    <xf numFmtId="0" fontId="1" fillId="0" borderId="0" xfId="0" applyFont="1"/>
    <xf numFmtId="0" fontId="2" fillId="0" borderId="0" xfId="0" applyFont="1"/>
    <xf numFmtId="0" fontId="3" fillId="2" borderId="0" xfId="1"/>
    <xf numFmtId="0" fontId="4" fillId="3" borderId="1" xfId="2"/>
    <xf numFmtId="0" fontId="6" fillId="0" borderId="0" xfId="0" applyFont="1" applyAlignment="1">
      <alignment vertical="center"/>
    </xf>
    <xf numFmtId="43" fontId="0" fillId="0" borderId="0" xfId="3" applyFont="1"/>
    <xf numFmtId="43" fontId="0" fillId="0" borderId="0" xfId="0" applyNumberFormat="1"/>
    <xf numFmtId="0" fontId="7" fillId="0" borderId="0" xfId="0" applyFont="1" applyAlignment="1">
      <alignment vertical="center"/>
    </xf>
    <xf numFmtId="0" fontId="0" fillId="0" borderId="0" xfId="0" applyAlignment="1">
      <alignment wrapText="1"/>
    </xf>
    <xf numFmtId="0" fontId="8" fillId="0" borderId="0" xfId="0" applyFont="1"/>
    <xf numFmtId="0" fontId="9" fillId="0" borderId="0" xfId="0" applyFont="1"/>
    <xf numFmtId="0" fontId="0" fillId="0" borderId="0" xfId="0" quotePrefix="1"/>
    <xf numFmtId="14" fontId="0" fillId="0" borderId="0" xfId="0" applyNumberFormat="1"/>
    <xf numFmtId="0" fontId="10" fillId="0" borderId="0" xfId="0" applyFont="1"/>
    <xf numFmtId="16" fontId="0" fillId="0" borderId="0" xfId="0" applyNumberFormat="1"/>
    <xf numFmtId="0" fontId="0" fillId="4" borderId="0" xfId="0" applyFill="1"/>
    <xf numFmtId="0" fontId="0" fillId="5" borderId="0" xfId="0" applyFill="1"/>
    <xf numFmtId="0" fontId="0" fillId="0" borderId="0" xfId="0" applyAlignment="1"/>
    <xf numFmtId="0" fontId="11" fillId="0" borderId="0" xfId="0" applyFont="1" applyAlignment="1">
      <alignment vertical="center"/>
    </xf>
    <xf numFmtId="0" fontId="13" fillId="0" borderId="0" xfId="0" applyFont="1" applyAlignment="1">
      <alignment horizontal="left" vertical="center" indent="1"/>
    </xf>
  </cellXfs>
  <cellStyles count="4">
    <cellStyle name="Comma" xfId="3" builtinId="3"/>
    <cellStyle name="Good" xfId="1" builtinId="26"/>
    <cellStyle name="Input" xfId="2" builtinId="20"/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BED6CF-AB76-4054-A45C-C07E8CC31C30}" name="Table1" displayName="Table1" ref="A3:H751" totalsRowShown="0">
  <autoFilter ref="A3:H751" xr:uid="{35BED6CF-AB76-4054-A45C-C07E8CC31C30}"/>
  <tableColumns count="8">
    <tableColumn id="1" xr3:uid="{C0E66725-2374-44A0-83A2-BD63D8B27C62}" name="año">
      <calculatedColumnFormula>YEAR(E4)</calculatedColumnFormula>
    </tableColumn>
    <tableColumn id="2" xr3:uid="{B61B9C84-DB37-4F6C-894C-46C2B1D3642E}" name="día">
      <calculatedColumnFormula>CHOOSE(WEEKDAY(E4), "do", "lu", "ma", "mi", "ju", "vi", "sa")</calculatedColumnFormula>
    </tableColumn>
    <tableColumn id="3" xr3:uid="{48C83728-1013-4D35-AD39-A5CAEE618F32}" name="semana"/>
    <tableColumn id="4" xr3:uid="{C3B39ACF-7540-4D1D-84F7-E2AF8CB9476A}" name="tiempo"/>
    <tableColumn id="5" xr3:uid="{8B36727F-A08A-43CA-A760-81B218A2B172}" name="fecha" dataDxfId="1">
      <calculatedColumnFormula>+E3+1</calculatedColumnFormula>
    </tableColumn>
    <tableColumn id="6" xr3:uid="{92901BCE-A628-4435-92E7-5B80FBB1EF33}" name="nomemclatura">
      <calculatedColumnFormula>_xlfn.CONCAT(D4,"_s",C4,"_",B4)</calculatedColumnFormula>
    </tableColumn>
    <tableColumn id="7" xr3:uid="{933DEFFE-1FCB-453C-A18C-54973C689F7E}" name="nomemclatura_completa" dataDxfId="0">
      <calculatedColumnFormula>"""" &amp; TEXT(E4, "dd/mm/yyyy") &amp; """: """ &amp; F4 &amp; ""","</calculatedColumnFormula>
    </tableColumn>
    <tableColumn id="8" xr3:uid="{94914022-262A-47DB-BB17-FCB7BC6F0CF2}" name="Comentario">
      <calculatedColumnFormula>IF(B4="do", "// TIEMPO " &amp; UPPER(D4) &amp; " SEMANA " &amp; C4, "")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servicioskoinonia.org/leccionario/Libro_04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E4A3A-44F4-41F8-B1CA-180F19C99737}">
  <dimension ref="A2:J51"/>
  <sheetViews>
    <sheetView tabSelected="1" zoomScale="130" zoomScaleNormal="130" workbookViewId="0">
      <selection activeCell="B30" sqref="B30:B39"/>
    </sheetView>
  </sheetViews>
  <sheetFormatPr defaultRowHeight="15"/>
  <cols>
    <col min="1" max="1" width="47" bestFit="1" customWidth="1"/>
    <col min="2" max="2" width="16.28515625" bestFit="1" customWidth="1"/>
    <col min="3" max="3" width="51.140625" bestFit="1" customWidth="1"/>
    <col min="4" max="4" width="9" bestFit="1" customWidth="1"/>
  </cols>
  <sheetData>
    <row r="2" spans="1:5">
      <c r="A2" t="s">
        <v>1494</v>
      </c>
      <c r="B2" t="s">
        <v>1487</v>
      </c>
    </row>
    <row r="3" spans="1:5">
      <c r="A3" t="s">
        <v>1495</v>
      </c>
      <c r="B3">
        <v>1</v>
      </c>
      <c r="C3" t="s">
        <v>1480</v>
      </c>
      <c r="D3" t="s">
        <v>1488</v>
      </c>
    </row>
    <row r="4" spans="1:5">
      <c r="A4" t="s">
        <v>1496</v>
      </c>
      <c r="B4">
        <v>2</v>
      </c>
      <c r="C4" t="s">
        <v>1489</v>
      </c>
      <c r="D4" t="s">
        <v>1488</v>
      </c>
    </row>
    <row r="5" spans="1:5">
      <c r="A5" t="s">
        <v>1497</v>
      </c>
      <c r="B5">
        <v>3</v>
      </c>
      <c r="C5" t="s">
        <v>1489</v>
      </c>
      <c r="D5" t="s">
        <v>1488</v>
      </c>
    </row>
    <row r="6" spans="1:5">
      <c r="A6" t="s">
        <v>1526</v>
      </c>
      <c r="B6">
        <v>3</v>
      </c>
    </row>
    <row r="7" spans="1:5">
      <c r="A7" t="s">
        <v>1498</v>
      </c>
      <c r="B7">
        <v>4</v>
      </c>
      <c r="C7" t="s">
        <v>1489</v>
      </c>
      <c r="D7" t="s">
        <v>1491</v>
      </c>
      <c r="E7" s="13" t="s">
        <v>1490</v>
      </c>
    </row>
    <row r="8" spans="1:5">
      <c r="A8" t="s">
        <v>1499</v>
      </c>
      <c r="B8" t="s">
        <v>1492</v>
      </c>
      <c r="C8" t="s">
        <v>1493</v>
      </c>
    </row>
    <row r="9" spans="1:5">
      <c r="A9" t="s">
        <v>1502</v>
      </c>
      <c r="B9" s="14">
        <v>46381</v>
      </c>
      <c r="C9" s="16" t="str">
        <f>_xlfn.CONCAT("""","// ",A9,"""")</f>
        <v>"// La Natividad del Señor"</v>
      </c>
    </row>
    <row r="10" spans="1:5">
      <c r="A10" t="s">
        <v>1501</v>
      </c>
      <c r="B10" s="16">
        <v>46382</v>
      </c>
      <c r="C10" s="16" t="str">
        <f t="shared" ref="C10:C26" si="0">_xlfn.CONCAT("""","// ",A10,"""")</f>
        <v>"// San Esteban, protomártir"</v>
      </c>
    </row>
    <row r="11" spans="1:5">
      <c r="A11" t="s">
        <v>1504</v>
      </c>
      <c r="B11" s="16">
        <v>46383</v>
      </c>
      <c r="C11" s="16" t="str">
        <f t="shared" si="0"/>
        <v>"//  San Juan, apóstol y evangelista"</v>
      </c>
    </row>
    <row r="12" spans="1:5">
      <c r="A12" t="s">
        <v>1503</v>
      </c>
      <c r="B12" s="16">
        <v>46384</v>
      </c>
      <c r="C12" s="16" t="str">
        <f t="shared" si="0"/>
        <v>"// Los Santos Inocentes, mártires"</v>
      </c>
    </row>
    <row r="13" spans="1:5">
      <c r="A13" t="s">
        <v>1505</v>
      </c>
      <c r="B13" s="16">
        <v>46385</v>
      </c>
      <c r="C13" s="16" t="str">
        <f t="shared" si="0"/>
        <v>"//  Día V dentro de la Octava de la Natividad del Señor"</v>
      </c>
    </row>
    <row r="14" spans="1:5">
      <c r="A14" t="s">
        <v>1500</v>
      </c>
      <c r="B14" s="16">
        <v>46383</v>
      </c>
      <c r="C14" s="16" t="str">
        <f t="shared" si="0"/>
        <v>"// La Sagrada Familia de Jesús, María y José"</v>
      </c>
    </row>
    <row r="15" spans="1:5">
      <c r="A15" t="s">
        <v>1507</v>
      </c>
      <c r="B15" s="16">
        <v>46386</v>
      </c>
      <c r="C15" s="16" t="str">
        <f t="shared" si="0"/>
        <v>"// Día VI dentro de la Octava de la Natividad del Señor"</v>
      </c>
    </row>
    <row r="16" spans="1:5">
      <c r="A16" t="s">
        <v>1508</v>
      </c>
      <c r="B16" s="16">
        <v>46387</v>
      </c>
      <c r="C16" s="16" t="str">
        <f t="shared" si="0"/>
        <v>"// Día VII dentro de la Octava de la Natividad del Señor"</v>
      </c>
    </row>
    <row r="17" spans="1:10">
      <c r="A17" t="s">
        <v>1509</v>
      </c>
      <c r="B17" s="16">
        <v>46023</v>
      </c>
      <c r="C17" s="16" t="str">
        <f t="shared" si="0"/>
        <v>"// Santa María, Madre de Dios"</v>
      </c>
    </row>
    <row r="18" spans="1:10">
      <c r="A18" t="s">
        <v>1510</v>
      </c>
      <c r="B18" s="16">
        <v>46028</v>
      </c>
      <c r="C18" s="16" t="str">
        <f t="shared" si="0"/>
        <v>"// La Epifanía del Señor"</v>
      </c>
    </row>
    <row r="19" spans="1:10">
      <c r="A19" t="s">
        <v>1511</v>
      </c>
      <c r="B19" s="16">
        <v>46032</v>
      </c>
      <c r="C19" s="16" t="str">
        <f t="shared" si="0"/>
        <v>"//  El Bautismo del Señor"</v>
      </c>
    </row>
    <row r="20" spans="1:10">
      <c r="A20" t="s">
        <v>1512</v>
      </c>
      <c r="B20" s="16">
        <v>46428</v>
      </c>
      <c r="C20" s="16" t="str">
        <f t="shared" si="0"/>
        <v>"// Miercoles de Ceniza"</v>
      </c>
    </row>
    <row r="21" spans="1:10">
      <c r="A21" t="s">
        <v>1513</v>
      </c>
      <c r="B21" s="16" t="s">
        <v>1527</v>
      </c>
      <c r="C21" s="16" t="str">
        <f t="shared" si="0"/>
        <v>"// Domingo de Ramos"</v>
      </c>
    </row>
    <row r="22" spans="1:10">
      <c r="A22" t="s">
        <v>1514</v>
      </c>
      <c r="B22" s="16" t="s">
        <v>1529</v>
      </c>
      <c r="C22" s="16" t="str">
        <f t="shared" si="0"/>
        <v>"// Jueves Santo en la Cena del Señor"</v>
      </c>
    </row>
    <row r="23" spans="1:10">
      <c r="A23" t="s">
        <v>1515</v>
      </c>
      <c r="B23" s="16" t="s">
        <v>1528</v>
      </c>
      <c r="C23" s="16" t="str">
        <f t="shared" si="0"/>
        <v>"// Viernes Santo en la Pasión del Señor"</v>
      </c>
    </row>
    <row r="24" spans="1:10">
      <c r="A24" t="s">
        <v>1516</v>
      </c>
      <c r="B24" s="16" t="s">
        <v>1530</v>
      </c>
      <c r="C24" s="16" t="str">
        <f t="shared" si="0"/>
        <v>"// Sábado Santo de la Sepultura del Señor"</v>
      </c>
    </row>
    <row r="25" spans="1:10">
      <c r="A25" t="s">
        <v>1486</v>
      </c>
      <c r="B25" t="s">
        <v>1485</v>
      </c>
    </row>
    <row r="27" spans="1:10">
      <c r="A27" t="s">
        <v>180</v>
      </c>
      <c r="B27" t="s">
        <v>1532</v>
      </c>
      <c r="C27" s="16" t="str">
        <f>_xlfn.CONCAT("""","// ",A27,"""")</f>
        <v>"// La Ascensión del Señor"</v>
      </c>
    </row>
    <row r="28" spans="1:10">
      <c r="A28" t="s">
        <v>1517</v>
      </c>
      <c r="B28" s="16">
        <v>46158</v>
      </c>
      <c r="C28" s="16" t="str">
        <f>_xlfn.CONCAT("""","// ",A28,"""")</f>
        <v>"// Domingo de Pentecostés"</v>
      </c>
    </row>
    <row r="29" spans="1:10" ht="18.75">
      <c r="B29" s="20"/>
      <c r="H29" cm="1">
        <f t="array" ref="H29:J51">A1:C23</f>
        <v>0</v>
      </c>
      <c r="I29">
        <v>0</v>
      </c>
      <c r="J29">
        <v>0</v>
      </c>
    </row>
    <row r="30" spans="1:10" ht="15.75">
      <c r="A30" s="21" t="s">
        <v>1546</v>
      </c>
      <c r="B30" s="14">
        <v>46428</v>
      </c>
      <c r="H30" t="str">
        <v>adviento</v>
      </c>
      <c r="I30" t="str">
        <v>Adviento</v>
      </c>
      <c r="J30">
        <v>0</v>
      </c>
    </row>
    <row r="31" spans="1:10" ht="15.75">
      <c r="A31" s="21" t="s">
        <v>1547</v>
      </c>
      <c r="B31" s="14">
        <v>46813</v>
      </c>
      <c r="H31" t="str">
        <v>navidad</v>
      </c>
      <c r="I31">
        <v>1</v>
      </c>
      <c r="J31" t="str">
        <v>abc</v>
      </c>
    </row>
    <row r="32" spans="1:10" ht="15.75">
      <c r="A32" s="21" t="s">
        <v>1548</v>
      </c>
      <c r="B32" s="14">
        <v>47163</v>
      </c>
      <c r="H32" t="str">
        <v>ordinario</v>
      </c>
      <c r="I32">
        <v>2</v>
      </c>
      <c r="J32" t="str">
        <v>a</v>
      </c>
    </row>
    <row r="33" spans="1:10" ht="15.75">
      <c r="A33" s="21" t="s">
        <v>1549</v>
      </c>
      <c r="B33" s="14">
        <v>47548</v>
      </c>
      <c r="H33" t="str">
        <v>cuaresma</v>
      </c>
      <c r="I33">
        <v>3</v>
      </c>
      <c r="J33" t="str">
        <v>a</v>
      </c>
    </row>
    <row r="34" spans="1:10" ht="15.75">
      <c r="A34" s="21" t="s">
        <v>1550</v>
      </c>
      <c r="B34" s="14">
        <v>47905</v>
      </c>
      <c r="H34" t="str">
        <v>cuaresma_mc</v>
      </c>
      <c r="I34">
        <v>3</v>
      </c>
      <c r="J34">
        <v>0</v>
      </c>
    </row>
    <row r="35" spans="1:10" ht="15.75">
      <c r="A35" s="21" t="s">
        <v>1551</v>
      </c>
      <c r="B35" s="14">
        <v>48255</v>
      </c>
      <c r="H35" t="str">
        <v>pascua</v>
      </c>
      <c r="I35">
        <v>4</v>
      </c>
      <c r="J35" t="str">
        <v>a</v>
      </c>
    </row>
    <row r="36" spans="1:10" ht="15.75">
      <c r="A36" s="21" t="s">
        <v>1552</v>
      </c>
      <c r="B36" s="14">
        <v>48640</v>
      </c>
      <c r="H36" t="str">
        <v>fiestas</v>
      </c>
      <c r="I36" t="str">
        <v>Navidad</v>
      </c>
      <c r="J36" t="str">
        <v>Misa (Vigilia, Medianoche, Aurora, Día)</v>
      </c>
    </row>
    <row r="37" spans="1:10" ht="15.75">
      <c r="A37" s="21" t="s">
        <v>1553</v>
      </c>
      <c r="B37" s="14">
        <v>48997</v>
      </c>
      <c r="H37" t="str">
        <v>La Natividad del Señor</v>
      </c>
      <c r="I37">
        <v>46381</v>
      </c>
      <c r="J37" t="str">
        <v>"// La Natividad del Señor"</v>
      </c>
    </row>
    <row r="38" spans="1:10" ht="15.75">
      <c r="A38" s="21" t="s">
        <v>1554</v>
      </c>
      <c r="B38" s="14">
        <v>49347</v>
      </c>
      <c r="H38" t="str">
        <v>San Esteban, protomártir</v>
      </c>
      <c r="I38">
        <v>46382</v>
      </c>
      <c r="J38" t="str">
        <v>"// San Esteban, protomártir"</v>
      </c>
    </row>
    <row r="39" spans="1:10" ht="15.75">
      <c r="A39" s="21" t="s">
        <v>1555</v>
      </c>
      <c r="B39" s="14">
        <v>49732</v>
      </c>
      <c r="H39" t="str">
        <v xml:space="preserve"> San Juan, apóstol y evangelista</v>
      </c>
      <c r="I39">
        <v>46383</v>
      </c>
      <c r="J39" t="str">
        <v>"//  San Juan, apóstol y evangelista"</v>
      </c>
    </row>
    <row r="40" spans="1:10">
      <c r="H40" t="str">
        <v>Los Santos Inocentes, mártires</v>
      </c>
      <c r="I40">
        <v>46384</v>
      </c>
      <c r="J40" t="str">
        <v>"// Los Santos Inocentes, mártires"</v>
      </c>
    </row>
    <row r="41" spans="1:10">
      <c r="H41" t="str">
        <v xml:space="preserve"> Día V dentro de la Octava de la Natividad del Señor</v>
      </c>
      <c r="I41">
        <v>46385</v>
      </c>
      <c r="J41" t="str">
        <v>"//  Día V dentro de la Octava de la Natividad del Señor"</v>
      </c>
    </row>
    <row r="42" spans="1:10">
      <c r="H42" t="str">
        <v>La Sagrada Familia de Jesús, María y José</v>
      </c>
      <c r="I42">
        <v>46383</v>
      </c>
      <c r="J42" t="str">
        <v>"// La Sagrada Familia de Jesús, María y José"</v>
      </c>
    </row>
    <row r="43" spans="1:10">
      <c r="H43" t="str">
        <v>Día VI dentro de la Octava de la Natividad del Señor</v>
      </c>
      <c r="I43">
        <v>46386</v>
      </c>
      <c r="J43" t="str">
        <v>"// Día VI dentro de la Octava de la Natividad del Señor"</v>
      </c>
    </row>
    <row r="44" spans="1:10">
      <c r="H44" t="str">
        <v>Día VII dentro de la Octava de la Natividad del Señor</v>
      </c>
      <c r="I44">
        <v>46387</v>
      </c>
      <c r="J44" t="str">
        <v>"// Día VII dentro de la Octava de la Natividad del Señor"</v>
      </c>
    </row>
    <row r="45" spans="1:10">
      <c r="H45" t="str">
        <v>Santa María, Madre de Dios</v>
      </c>
      <c r="I45">
        <v>46023</v>
      </c>
      <c r="J45" t="str">
        <v>"// Santa María, Madre de Dios"</v>
      </c>
    </row>
    <row r="46" spans="1:10">
      <c r="H46" t="str">
        <v>La Epifanía del Señor</v>
      </c>
      <c r="I46">
        <v>46028</v>
      </c>
      <c r="J46" t="str">
        <v>"// La Epifanía del Señor"</v>
      </c>
    </row>
    <row r="47" spans="1:10">
      <c r="H47" t="str">
        <v xml:space="preserve"> El Bautismo del Señor</v>
      </c>
      <c r="I47">
        <v>46032</v>
      </c>
      <c r="J47" t="str">
        <v>"//  El Bautismo del Señor"</v>
      </c>
    </row>
    <row r="48" spans="1:10">
      <c r="H48" t="str">
        <v>Miercoles de Ceniza</v>
      </c>
      <c r="I48">
        <v>46428</v>
      </c>
      <c r="J48" t="str">
        <v>"// Miercoles de Ceniza"</v>
      </c>
    </row>
    <row r="49" spans="8:10">
      <c r="H49" t="str">
        <v>Domingo de Ramos</v>
      </c>
      <c r="I49" t="str">
        <v>cuaresma_s6_do</v>
      </c>
      <c r="J49" t="str">
        <v>"// Domingo de Ramos"</v>
      </c>
    </row>
    <row r="50" spans="8:10">
      <c r="H50" t="str">
        <v>Jueves Santo en la Cena del Señor</v>
      </c>
      <c r="I50" t="str">
        <v>cuaresma_s6_ju</v>
      </c>
      <c r="J50" t="str">
        <v>"// Jueves Santo en la Cena del Señor"</v>
      </c>
    </row>
    <row r="51" spans="8:10">
      <c r="H51" t="str">
        <v>Viernes Santo en la Pasión del Señor</v>
      </c>
      <c r="I51" t="str">
        <v>cuaresma_s6_vi</v>
      </c>
      <c r="J51" t="str">
        <v>"// Viernes Santo en la Pasión del Señor"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CBA9-6B0E-47A2-A555-2D173E2FD5CD}">
  <dimension ref="A3:L751"/>
  <sheetViews>
    <sheetView topLeftCell="A408" zoomScale="205" zoomScaleNormal="205" workbookViewId="0">
      <selection activeCell="H417" sqref="H417"/>
    </sheetView>
  </sheetViews>
  <sheetFormatPr defaultRowHeight="15"/>
  <cols>
    <col min="1" max="1" width="6.5703125" bestFit="1" customWidth="1"/>
    <col min="2" max="2" width="6" bestFit="1" customWidth="1"/>
    <col min="3" max="3" width="10.28515625" bestFit="1" customWidth="1"/>
    <col min="4" max="4" width="18.7109375" bestFit="1" customWidth="1"/>
    <col min="5" max="5" width="10.42578125" bestFit="1" customWidth="1"/>
    <col min="6" max="6" width="24.85546875" bestFit="1" customWidth="1"/>
    <col min="7" max="7" width="38.5703125" bestFit="1" customWidth="1"/>
    <col min="8" max="8" width="51.140625" customWidth="1"/>
    <col min="10" max="10" width="10.7109375" customWidth="1"/>
    <col min="11" max="11" width="10.42578125" bestFit="1" customWidth="1"/>
  </cols>
  <sheetData>
    <row r="3" spans="1:8">
      <c r="A3" t="s">
        <v>1518</v>
      </c>
      <c r="B3" t="s">
        <v>1519</v>
      </c>
      <c r="C3" t="s">
        <v>1520</v>
      </c>
      <c r="D3" t="s">
        <v>1521</v>
      </c>
      <c r="E3" t="s">
        <v>1522</v>
      </c>
      <c r="F3" t="s">
        <v>1523</v>
      </c>
      <c r="G3" t="s">
        <v>1524</v>
      </c>
      <c r="H3" t="s">
        <v>1525</v>
      </c>
    </row>
    <row r="4" spans="1:8">
      <c r="A4">
        <f t="shared" ref="A4" si="0">YEAR(E4)</f>
        <v>2025</v>
      </c>
      <c r="B4" t="str">
        <f t="shared" ref="B4" si="1">CHOOSE(WEEKDAY(E4), "do", "lu", "ma", "mi", "ju", "vi", "sa")</f>
        <v>mi</v>
      </c>
      <c r="C4">
        <v>4</v>
      </c>
      <c r="D4" t="s">
        <v>1494</v>
      </c>
      <c r="E4" s="14">
        <f t="shared" ref="E4:E7" si="2">+E5-1</f>
        <v>46015</v>
      </c>
      <c r="F4" t="str">
        <f t="shared" ref="F4" si="3">_xlfn.CONCAT(D4,"_s",C4,"_",B4)</f>
        <v>adviento_s4_mi</v>
      </c>
      <c r="G4" s="15" t="str">
        <f t="shared" ref="G4" si="4">"""" &amp; TEXT(E4, "dd/mm/yyyy") &amp; """: """ &amp; F4 &amp; ""","</f>
        <v>"24/12/2025": "adviento_s4_mi",</v>
      </c>
      <c r="H4" t="str">
        <f t="shared" ref="H4" si="5">IF(B4="do", "// TIEMPO " &amp; UPPER(D4) &amp; " SEMANA " &amp; C4, "")</f>
        <v/>
      </c>
    </row>
    <row r="5" spans="1:8">
      <c r="A5">
        <f t="shared" ref="A5:A7" si="6">YEAR(E5)</f>
        <v>2025</v>
      </c>
      <c r="B5" t="str">
        <f t="shared" ref="B5:B7" si="7">CHOOSE(WEEKDAY(E5), "do", "lu", "ma", "mi", "ju", "vi", "sa")</f>
        <v>ju</v>
      </c>
      <c r="C5">
        <v>0</v>
      </c>
      <c r="D5" t="s">
        <v>1495</v>
      </c>
      <c r="E5" s="14">
        <f t="shared" si="2"/>
        <v>46016</v>
      </c>
      <c r="F5" t="str">
        <f t="shared" ref="F5:F7" si="8">_xlfn.CONCAT(D5,"_s",C5,"_",B5)</f>
        <v>navidad_s0_ju</v>
      </c>
      <c r="G5" s="15" t="str">
        <f t="shared" ref="G5:G7" si="9">"""" &amp; TEXT(E5, "dd/mm/yyyy") &amp; """: """ &amp; F5 &amp; ""","</f>
        <v>"25/12/2025": "navidad_s0_ju",</v>
      </c>
      <c r="H5" s="13" t="str">
        <f>IF(MONTH(E5)=1,IF(DAY(E5)=1,Resumen!$C$17,IF(DAY(E5)=6,Resumen!$C$18,IF(AND(WEEKDAY(E5)=1,E5&gt;DATE(YEAR(E5),1,6),E5&lt;DATE(YEAR(E5),1,14)),Resumen!$C$19,""))),IF(E5=(DATE(YEAR(E5),12,31)-WEEKDAY(DATE(YEAR(E5),12,31)-1,1)),Resumen!$C$14,IF(MONTH(E5)=12,IF(DAY(E5)=25,Resumen!$C$9,IF(DAY(E5)=26,Resumen!$C$10,IF(DAY(E5)=27,Resumen!$C$11,IF(DAY(E5)=28,Resumen!$C$12,IF(DAY(E5)=29,Resumen!$C$13,IF(DAY(E5)=30,Resumen!$C$15,IF(DAY(E5)=31,Resumen!$C$16,IF(B5="do","// "&amp;UPPER(D5)&amp;" SEMANA "&amp;C5,"")))))))),Resumen!$C$15)))</f>
        <v>"// La Natividad del Señor"</v>
      </c>
    </row>
    <row r="6" spans="1:8">
      <c r="A6">
        <f t="shared" si="6"/>
        <v>2025</v>
      </c>
      <c r="B6" t="str">
        <f t="shared" si="7"/>
        <v>vi</v>
      </c>
      <c r="C6">
        <v>0</v>
      </c>
      <c r="D6" t="s">
        <v>1495</v>
      </c>
      <c r="E6" s="14">
        <f t="shared" si="2"/>
        <v>46017</v>
      </c>
      <c r="F6" t="str">
        <f t="shared" si="8"/>
        <v>navidad_s0_vi</v>
      </c>
      <c r="G6" s="15" t="str">
        <f t="shared" si="9"/>
        <v>"26/12/2025": "navidad_s0_vi",</v>
      </c>
      <c r="H6" s="13" t="str">
        <f>IF(MONTH(E6)=1,IF(DAY(E6)=1,Resumen!$C$17,IF(DAY(E6)=6,Resumen!$C$18,IF(AND(WEEKDAY(E6)=1,E6&gt;DATE(YEAR(E6),1,6),E6&lt;DATE(YEAR(E6),1,14)),Resumen!$C$19,""))),IF(E6=(DATE(YEAR(E6),12,31)-WEEKDAY(DATE(YEAR(E6),12,31)-1,1)),Resumen!$C$14,IF(MONTH(E6)=12,IF(DAY(E6)=25,Resumen!$C$9,IF(DAY(E6)=26,Resumen!$C$10,IF(DAY(E6)=27,Resumen!$C$11,IF(DAY(E6)=28,Resumen!$C$12,IF(DAY(E6)=29,Resumen!$C$13,IF(DAY(E6)=30,Resumen!$C$15,IF(DAY(E6)=31,Resumen!$C$16,IF(B6="do","// "&amp;UPPER(D6)&amp;" SEMANA "&amp;C6,"")))))))),Resumen!$C$15)))</f>
        <v>"// San Esteban, protomártir"</v>
      </c>
    </row>
    <row r="7" spans="1:8">
      <c r="A7">
        <f t="shared" si="6"/>
        <v>2025</v>
      </c>
      <c r="B7" t="str">
        <f t="shared" si="7"/>
        <v>sa</v>
      </c>
      <c r="C7">
        <v>0</v>
      </c>
      <c r="D7" t="s">
        <v>1495</v>
      </c>
      <c r="E7" s="14">
        <f t="shared" si="2"/>
        <v>46018</v>
      </c>
      <c r="F7" t="str">
        <f t="shared" si="8"/>
        <v>navidad_s0_sa</v>
      </c>
      <c r="G7" s="15" t="str">
        <f t="shared" si="9"/>
        <v>"27/12/2025": "navidad_s0_sa",</v>
      </c>
      <c r="H7" s="13" t="str">
        <f>IF(MONTH(E7)=1,IF(DAY(E7)=1,Resumen!$C$17,IF(DAY(E7)=6,Resumen!$C$18,IF(AND(WEEKDAY(E7)=1,E7&gt;DATE(YEAR(E7),1,6),E7&lt;DATE(YEAR(E7),1,14)),Resumen!$C$19,""))),IF(E7=(DATE(YEAR(E7),12,31)-WEEKDAY(DATE(YEAR(E7),12,31)-1,1)),Resumen!$C$14,IF(MONTH(E7)=12,IF(DAY(E7)=25,Resumen!$C$9,IF(DAY(E7)=26,Resumen!$C$10,IF(DAY(E7)=27,Resumen!$C$11,IF(DAY(E7)=28,Resumen!$C$12,IF(DAY(E7)=29,Resumen!$C$13,IF(DAY(E7)=30,Resumen!$C$15,IF(DAY(E7)=31,Resumen!$C$16,IF(B7="do","// "&amp;UPPER(D7)&amp;" SEMANA "&amp;C7,"")))))))),Resumen!$C$15)))</f>
        <v>"//  San Juan, apóstol y evangelista"</v>
      </c>
    </row>
    <row r="8" spans="1:8">
      <c r="A8">
        <f t="shared" ref="A8:A71" si="10">YEAR(E8)</f>
        <v>2025</v>
      </c>
      <c r="B8" t="str">
        <f t="shared" ref="B8:B71" si="11">CHOOSE(WEEKDAY(E8), "do", "lu", "ma", "mi", "ju", "vi", "sa")</f>
        <v>do</v>
      </c>
      <c r="C8">
        <v>1</v>
      </c>
      <c r="D8" t="s">
        <v>1495</v>
      </c>
      <c r="E8" s="14">
        <f t="shared" ref="E8:E71" si="12">+E9-1</f>
        <v>46019</v>
      </c>
      <c r="F8" t="str">
        <f t="shared" ref="F8:F71" si="13">_xlfn.CONCAT(D8,"_s",C8,"_",B8)</f>
        <v>navidad_s1_do</v>
      </c>
      <c r="G8" s="15" t="str">
        <f t="shared" ref="G8:G71" si="14">"""" &amp; TEXT(E8, "dd/mm/yyyy") &amp; """: """ &amp; F8 &amp; ""","</f>
        <v>"28/12/2025": "navidad_s1_do",</v>
      </c>
      <c r="H8" s="13" t="str">
        <f>IF(MONTH(E8)=1,IF(DAY(E8)=1,Resumen!$C$17,IF(DAY(E8)=6,Resumen!$C$18,IF(AND(WEEKDAY(E8)=1,E8&gt;DATE(YEAR(E8),1,6),E8&lt;DATE(YEAR(E8),1,14)),Resumen!$C$19,""))),IF(E8=(DATE(YEAR(E8),12,31)-WEEKDAY(DATE(YEAR(E8),12,31)-1,1)),Resumen!$C$14,IF(MONTH(E8)=12,IF(DAY(E8)=25,Resumen!$C$9,IF(DAY(E8)=26,Resumen!$C$10,IF(DAY(E8)=27,Resumen!$C$11,IF(DAY(E8)=28,Resumen!$C$12,IF(DAY(E8)=29,Resumen!$C$13,IF(DAY(E8)=30,Resumen!$C$15,IF(DAY(E8)=31,Resumen!$C$16,IF(B8="do","// "&amp;UPPER(D8)&amp;" SEMANA "&amp;C8,"")))))))),Resumen!$C$15)))</f>
        <v>"// La Sagrada Familia de Jesús, María y José"</v>
      </c>
    </row>
    <row r="9" spans="1:8">
      <c r="A9">
        <f t="shared" si="10"/>
        <v>2025</v>
      </c>
      <c r="B9" t="str">
        <f t="shared" si="11"/>
        <v>lu</v>
      </c>
      <c r="C9">
        <v>1</v>
      </c>
      <c r="D9" t="s">
        <v>1495</v>
      </c>
      <c r="E9" s="14">
        <f t="shared" si="12"/>
        <v>46020</v>
      </c>
      <c r="F9" t="str">
        <f t="shared" si="13"/>
        <v>navidad_s1_lu</v>
      </c>
      <c r="G9" s="15" t="str">
        <f t="shared" si="14"/>
        <v>"29/12/2025": "navidad_s1_lu",</v>
      </c>
      <c r="H9" s="13" t="str">
        <f>IF(MONTH(E9)=1,IF(DAY(E9)=1,Resumen!$C$17,IF(DAY(E9)=6,Resumen!$C$18,IF(AND(WEEKDAY(E9)=1,E9&gt;DATE(YEAR(E9),1,6),E9&lt;DATE(YEAR(E9),1,14)),Resumen!$C$19,""))),IF(E9=(DATE(YEAR(E9),12,31)-WEEKDAY(DATE(YEAR(E9),12,31)-1,1)),Resumen!$C$14,IF(MONTH(E9)=12,IF(DAY(E9)=25,Resumen!$C$9,IF(DAY(E9)=26,Resumen!$C$10,IF(DAY(E9)=27,Resumen!$C$11,IF(DAY(E9)=28,Resumen!$C$12,IF(DAY(E9)=29,Resumen!$C$13,IF(DAY(E9)=30,Resumen!$C$15,IF(DAY(E9)=31,Resumen!$C$16,IF(B9="do","// "&amp;UPPER(D9)&amp;" SEMANA "&amp;C9,"")))))))),Resumen!$C$15)))</f>
        <v>"//  Día V dentro de la Octava de la Natividad del Señor"</v>
      </c>
    </row>
    <row r="10" spans="1:8">
      <c r="A10">
        <f t="shared" si="10"/>
        <v>2025</v>
      </c>
      <c r="B10" t="str">
        <f t="shared" si="11"/>
        <v>ma</v>
      </c>
      <c r="C10">
        <v>1</v>
      </c>
      <c r="D10" t="s">
        <v>1495</v>
      </c>
      <c r="E10" s="14">
        <f t="shared" si="12"/>
        <v>46021</v>
      </c>
      <c r="F10" t="str">
        <f t="shared" si="13"/>
        <v>navidad_s1_ma</v>
      </c>
      <c r="G10" s="15" t="str">
        <f t="shared" si="14"/>
        <v>"30/12/2025": "navidad_s1_ma",</v>
      </c>
      <c r="H10" s="13" t="str">
        <f>IF(MONTH(E10)=1,IF(DAY(E10)=1,Resumen!$C$17,IF(DAY(E10)=6,Resumen!$C$18,IF(AND(WEEKDAY(E10)=1,E10&gt;DATE(YEAR(E10),1,6),E10&lt;DATE(YEAR(E10),1,14)),Resumen!$C$19,""))),IF(E10=(DATE(YEAR(E10),12,31)-WEEKDAY(DATE(YEAR(E10),12,31)-1,1)),Resumen!$C$14,IF(MONTH(E10)=12,IF(DAY(E10)=25,Resumen!$C$9,IF(DAY(E10)=26,Resumen!$C$10,IF(DAY(E10)=27,Resumen!$C$11,IF(DAY(E10)=28,Resumen!$C$12,IF(DAY(E10)=29,Resumen!$C$13,IF(DAY(E10)=30,Resumen!$C$15,IF(DAY(E10)=31,Resumen!$C$16,IF(B10="do","// "&amp;UPPER(D10)&amp;" SEMANA "&amp;C10,"")))))))),Resumen!$C$15)))</f>
        <v>"// Día VI dentro de la Octava de la Natividad del Señor"</v>
      </c>
    </row>
    <row r="11" spans="1:8">
      <c r="A11">
        <f t="shared" si="10"/>
        <v>2025</v>
      </c>
      <c r="B11" t="str">
        <f t="shared" si="11"/>
        <v>mi</v>
      </c>
      <c r="C11">
        <v>1</v>
      </c>
      <c r="D11" t="s">
        <v>1495</v>
      </c>
      <c r="E11" s="14">
        <f t="shared" si="12"/>
        <v>46022</v>
      </c>
      <c r="F11" t="str">
        <f t="shared" si="13"/>
        <v>navidad_s1_mi</v>
      </c>
      <c r="G11" s="15" t="str">
        <f t="shared" si="14"/>
        <v>"31/12/2025": "navidad_s1_mi",</v>
      </c>
      <c r="H11" s="13" t="str">
        <f>IF(MONTH(E11)=1,IF(DAY(E11)=1,Resumen!$C$17,IF(DAY(E11)=6,Resumen!$C$18,IF(AND(WEEKDAY(E11)=1,E11&gt;DATE(YEAR(E11),1,6),E11&lt;DATE(YEAR(E11),1,14)),Resumen!$C$19,""))),IF(E11=(DATE(YEAR(E11),12,31)-WEEKDAY(DATE(YEAR(E11),12,31)-1,1)),Resumen!$C$14,IF(MONTH(E11)=12,IF(DAY(E11)=25,Resumen!$C$9,IF(DAY(E11)=26,Resumen!$C$10,IF(DAY(E11)=27,Resumen!$C$11,IF(DAY(E11)=28,Resumen!$C$12,IF(DAY(E11)=29,Resumen!$C$13,IF(DAY(E11)=30,Resumen!$C$15,IF(DAY(E11)=31,Resumen!$C$16,IF(B11="do","// "&amp;UPPER(D11)&amp;" SEMANA "&amp;C11,"")))))))),Resumen!$C$15)))</f>
        <v>"// Día VII dentro de la Octava de la Natividad del Señor"</v>
      </c>
    </row>
    <row r="12" spans="1:8">
      <c r="A12">
        <f t="shared" si="10"/>
        <v>2026</v>
      </c>
      <c r="B12" t="str">
        <f t="shared" si="11"/>
        <v>ju</v>
      </c>
      <c r="C12">
        <v>1</v>
      </c>
      <c r="D12" t="s">
        <v>1495</v>
      </c>
      <c r="E12" s="14">
        <f t="shared" si="12"/>
        <v>46023</v>
      </c>
      <c r="F12" t="str">
        <f t="shared" si="13"/>
        <v>navidad_s1_ju</v>
      </c>
      <c r="G12" s="15" t="str">
        <f t="shared" si="14"/>
        <v>"01/01/2026": "navidad_s1_ju",</v>
      </c>
      <c r="H12" s="13" t="str">
        <f>IF(MONTH(E12)=1,IF(DAY(E12)=1,Resumen!$C$17,IF(DAY(E12)=6,Resumen!$C$18,IF(AND(WEEKDAY(E12)=1,E12&gt;DATE(YEAR(E12),1,6),E12&lt;DATE(YEAR(E12),1,14)),Resumen!$C$19,""))),IF(E12=(DATE(YEAR(E12),12,31)-WEEKDAY(DATE(YEAR(E12),12,31)-1,1)),Resumen!$C$14,IF(MONTH(E12)=12,IF(DAY(E12)=25,Resumen!$C$9,IF(DAY(E12)=26,Resumen!$C$10,IF(DAY(E12)=27,Resumen!$C$11,IF(DAY(E12)=28,Resumen!$C$12,IF(DAY(E12)=29,Resumen!$C$13,IF(DAY(E12)=30,Resumen!$C$15,IF(DAY(E12)=31,Resumen!$C$16,IF(B12="do","// "&amp;UPPER(D12)&amp;" SEMANA "&amp;C12,"")))))))),Resumen!$C$15)))</f>
        <v>"// Santa María, Madre de Dios"</v>
      </c>
    </row>
    <row r="13" spans="1:8">
      <c r="A13">
        <f t="shared" si="10"/>
        <v>2026</v>
      </c>
      <c r="B13" t="str">
        <f t="shared" si="11"/>
        <v>vi</v>
      </c>
      <c r="C13">
        <v>1</v>
      </c>
      <c r="D13" t="s">
        <v>1495</v>
      </c>
      <c r="E13" s="14">
        <f t="shared" si="12"/>
        <v>46024</v>
      </c>
      <c r="F13" t="str">
        <f t="shared" si="13"/>
        <v>navidad_s1_vi</v>
      </c>
      <c r="G13" s="15" t="str">
        <f t="shared" si="14"/>
        <v>"02/01/2026": "navidad_s1_vi",</v>
      </c>
      <c r="H13" s="13" t="str">
        <f>IF(MONTH(E13)=1,IF(DAY(E13)=1,Resumen!$C$17,IF(DAY(E13)=6,Resumen!$C$18,IF(AND(WEEKDAY(E13)=1,E13&gt;DATE(YEAR(E13),1,6),E13&lt;DATE(YEAR(E13),1,14)),Resumen!$C$19,""))),IF(E13=(DATE(YEAR(E13),12,31)-WEEKDAY(DATE(YEAR(E13),12,31)-1,1)),Resumen!$C$14,IF(MONTH(E13)=12,IF(DAY(E13)=25,Resumen!$C$9,IF(DAY(E13)=26,Resumen!$C$10,IF(DAY(E13)=27,Resumen!$C$11,IF(DAY(E13)=28,Resumen!$C$12,IF(DAY(E13)=29,Resumen!$C$13,IF(DAY(E13)=30,Resumen!$C$15,IF(DAY(E13)=31,Resumen!$C$16,IF(B13="do","// "&amp;UPPER(D13)&amp;" SEMANA "&amp;C13,"")))))))),Resumen!$C$15)))</f>
        <v/>
      </c>
    </row>
    <row r="14" spans="1:8">
      <c r="A14">
        <f t="shared" si="10"/>
        <v>2026</v>
      </c>
      <c r="B14" t="str">
        <f t="shared" si="11"/>
        <v>sa</v>
      </c>
      <c r="C14">
        <v>1</v>
      </c>
      <c r="D14" t="s">
        <v>1495</v>
      </c>
      <c r="E14" s="14">
        <f t="shared" si="12"/>
        <v>46025</v>
      </c>
      <c r="F14" t="str">
        <f t="shared" si="13"/>
        <v>navidad_s1_sa</v>
      </c>
      <c r="G14" s="15" t="str">
        <f t="shared" si="14"/>
        <v>"03/01/2026": "navidad_s1_sa",</v>
      </c>
      <c r="H14" s="13" t="str">
        <f>IF(MONTH(E14)=1,IF(DAY(E14)=1,Resumen!$C$17,IF(DAY(E14)=6,Resumen!$C$18,IF(AND(WEEKDAY(E14)=1,E14&gt;DATE(YEAR(E14),1,6),E14&lt;DATE(YEAR(E14),1,14)),Resumen!$C$19,""))),IF(E14=(DATE(YEAR(E14),12,31)-WEEKDAY(DATE(YEAR(E14),12,31)-1,1)),Resumen!$C$14,IF(MONTH(E14)=12,IF(DAY(E14)=25,Resumen!$C$9,IF(DAY(E14)=26,Resumen!$C$10,IF(DAY(E14)=27,Resumen!$C$11,IF(DAY(E14)=28,Resumen!$C$12,IF(DAY(E14)=29,Resumen!$C$13,IF(DAY(E14)=30,Resumen!$C$15,IF(DAY(E14)=31,Resumen!$C$16,IF(B14="do","// "&amp;UPPER(D14)&amp;" SEMANA "&amp;C14,"")))))))),Resumen!$C$15)))</f>
        <v/>
      </c>
    </row>
    <row r="15" spans="1:8">
      <c r="A15">
        <f t="shared" si="10"/>
        <v>2026</v>
      </c>
      <c r="B15" t="str">
        <f t="shared" si="11"/>
        <v>do</v>
      </c>
      <c r="C15">
        <v>2</v>
      </c>
      <c r="D15" t="s">
        <v>1495</v>
      </c>
      <c r="E15" s="14">
        <f t="shared" si="12"/>
        <v>46026</v>
      </c>
      <c r="F15" t="str">
        <f t="shared" si="13"/>
        <v>navidad_s2_do</v>
      </c>
      <c r="G15" s="15" t="str">
        <f t="shared" si="14"/>
        <v>"04/01/2026": "navidad_s2_do",</v>
      </c>
      <c r="H15" s="13" t="str">
        <f>IF(MONTH(E15)=1,IF(DAY(E15)=1,Resumen!$C$17,IF(DAY(E15)=6,Resumen!$C$18,IF(AND(WEEKDAY(E15)=1,E15&gt;DATE(YEAR(E15),1,6),E15&lt;DATE(YEAR(E15),1,14)),Resumen!$C$19,""))),IF(E15=(DATE(YEAR(E15),12,31)-WEEKDAY(DATE(YEAR(E15),12,31)-1,1)),Resumen!$C$14,IF(MONTH(E15)=12,IF(DAY(E15)=25,Resumen!$C$9,IF(DAY(E15)=26,Resumen!$C$10,IF(DAY(E15)=27,Resumen!$C$11,IF(DAY(E15)=28,Resumen!$C$12,IF(DAY(E15)=29,Resumen!$C$13,IF(DAY(E15)=30,Resumen!$C$15,IF(DAY(E15)=31,Resumen!$C$16,IF(B15="do","// "&amp;UPPER(D15)&amp;" SEMANA "&amp;C15,"")))))))),Resumen!$C$15)))</f>
        <v/>
      </c>
    </row>
    <row r="16" spans="1:8">
      <c r="A16">
        <f t="shared" si="10"/>
        <v>2026</v>
      </c>
      <c r="B16" t="str">
        <f t="shared" si="11"/>
        <v>lu</v>
      </c>
      <c r="C16">
        <v>2</v>
      </c>
      <c r="D16" t="s">
        <v>1495</v>
      </c>
      <c r="E16" s="14">
        <f t="shared" si="12"/>
        <v>46027</v>
      </c>
      <c r="F16" t="str">
        <f t="shared" si="13"/>
        <v>navidad_s2_lu</v>
      </c>
      <c r="G16" s="15" t="str">
        <f t="shared" si="14"/>
        <v>"05/01/2026": "navidad_s2_lu",</v>
      </c>
      <c r="H16" s="13" t="str">
        <f>IF(MONTH(E16)=1,IF(DAY(E16)=1,Resumen!$C$17,IF(DAY(E16)=6,Resumen!$C$18,IF(AND(WEEKDAY(E16)=1,E16&gt;DATE(YEAR(E16),1,6),E16&lt;DATE(YEAR(E16),1,14)),Resumen!$C$19,""))),IF(E16=(DATE(YEAR(E16),12,31)-WEEKDAY(DATE(YEAR(E16),12,31)-1,1)),Resumen!$C$14,IF(MONTH(E16)=12,IF(DAY(E16)=25,Resumen!$C$9,IF(DAY(E16)=26,Resumen!$C$10,IF(DAY(E16)=27,Resumen!$C$11,IF(DAY(E16)=28,Resumen!$C$12,IF(DAY(E16)=29,Resumen!$C$13,IF(DAY(E16)=30,Resumen!$C$15,IF(DAY(E16)=31,Resumen!$C$16,IF(B16="do","// "&amp;UPPER(D16)&amp;" SEMANA "&amp;C16,"")))))))),Resumen!$C$15)))</f>
        <v/>
      </c>
    </row>
    <row r="17" spans="1:8">
      <c r="A17">
        <f t="shared" si="10"/>
        <v>2026</v>
      </c>
      <c r="B17" t="str">
        <f t="shared" si="11"/>
        <v>ma</v>
      </c>
      <c r="C17">
        <v>2</v>
      </c>
      <c r="D17" t="s">
        <v>1495</v>
      </c>
      <c r="E17" s="14">
        <f t="shared" si="12"/>
        <v>46028</v>
      </c>
      <c r="F17" t="str">
        <f t="shared" si="13"/>
        <v>navidad_s2_ma</v>
      </c>
      <c r="G17" s="15" t="str">
        <f t="shared" si="14"/>
        <v>"06/01/2026": "navidad_s2_ma",</v>
      </c>
      <c r="H17" s="13" t="str">
        <f>IF(MONTH(E17)=1,IF(DAY(E17)=1,Resumen!$C$17,IF(DAY(E17)=6,Resumen!$C$18,IF(AND(WEEKDAY(E17)=1,E17&gt;DATE(YEAR(E17),1,6),E17&lt;DATE(YEAR(E17),1,14)),Resumen!$C$19,""))),IF(E17=(DATE(YEAR(E17),12,31)-WEEKDAY(DATE(YEAR(E17),12,31)-1,1)),Resumen!$C$14,IF(MONTH(E17)=12,IF(DAY(E17)=25,Resumen!$C$9,IF(DAY(E17)=26,Resumen!$C$10,IF(DAY(E17)=27,Resumen!$C$11,IF(DAY(E17)=28,Resumen!$C$12,IF(DAY(E17)=29,Resumen!$C$13,IF(DAY(E17)=30,Resumen!$C$15,IF(DAY(E17)=31,Resumen!$C$16,IF(B17="do","// "&amp;UPPER(D17)&amp;" SEMANA "&amp;C17,"")))))))),Resumen!$C$15)))</f>
        <v>"// La Epifanía del Señor"</v>
      </c>
    </row>
    <row r="18" spans="1:8">
      <c r="A18">
        <f t="shared" si="10"/>
        <v>2026</v>
      </c>
      <c r="B18" t="str">
        <f t="shared" si="11"/>
        <v>mi</v>
      </c>
      <c r="C18">
        <v>2</v>
      </c>
      <c r="D18" t="s">
        <v>1495</v>
      </c>
      <c r="E18" s="14">
        <f t="shared" si="12"/>
        <v>46029</v>
      </c>
      <c r="F18" t="str">
        <f t="shared" si="13"/>
        <v>navidad_s2_mi</v>
      </c>
      <c r="G18" s="15" t="str">
        <f t="shared" si="14"/>
        <v>"07/01/2026": "navidad_s2_mi",</v>
      </c>
      <c r="H18" s="13" t="str">
        <f>IF(MONTH(E18)=1,IF(DAY(E18)=1,Resumen!$C$17,IF(DAY(E18)=6,Resumen!$C$18,IF(AND(WEEKDAY(E18)=1,E18&gt;DATE(YEAR(E18),1,6),E18&lt;DATE(YEAR(E18),1,14)),Resumen!$C$19,""))),IF(E18=(DATE(YEAR(E18),12,31)-WEEKDAY(DATE(YEAR(E18),12,31)-1,1)),Resumen!$C$14,IF(MONTH(E18)=12,IF(DAY(E18)=25,Resumen!$C$9,IF(DAY(E18)=26,Resumen!$C$10,IF(DAY(E18)=27,Resumen!$C$11,IF(DAY(E18)=28,Resumen!$C$12,IF(DAY(E18)=29,Resumen!$C$13,IF(DAY(E18)=30,Resumen!$C$15,IF(DAY(E18)=31,Resumen!$C$16,IF(B18="do","// "&amp;UPPER(D18)&amp;" SEMANA "&amp;C18,"")))))))),Resumen!$C$15)))</f>
        <v/>
      </c>
    </row>
    <row r="19" spans="1:8">
      <c r="A19">
        <f t="shared" si="10"/>
        <v>2026</v>
      </c>
      <c r="B19" t="str">
        <f t="shared" si="11"/>
        <v>ju</v>
      </c>
      <c r="C19">
        <v>2</v>
      </c>
      <c r="D19" t="s">
        <v>1495</v>
      </c>
      <c r="E19" s="14">
        <f t="shared" si="12"/>
        <v>46030</v>
      </c>
      <c r="F19" t="str">
        <f t="shared" si="13"/>
        <v>navidad_s2_ju</v>
      </c>
      <c r="G19" s="15" t="str">
        <f t="shared" si="14"/>
        <v>"08/01/2026": "navidad_s2_ju",</v>
      </c>
      <c r="H19" s="13" t="str">
        <f>IF(MONTH(E19)=1,IF(DAY(E19)=1,Resumen!$C$17,IF(DAY(E19)=6,Resumen!$C$18,IF(AND(WEEKDAY(E19)=1,E19&gt;DATE(YEAR(E19),1,6),E19&lt;DATE(YEAR(E19),1,14)),Resumen!$C$19,""))),IF(E19=(DATE(YEAR(E19),12,31)-WEEKDAY(DATE(YEAR(E19),12,31)-1,1)),Resumen!$C$14,IF(MONTH(E19)=12,IF(DAY(E19)=25,Resumen!$C$9,IF(DAY(E19)=26,Resumen!$C$10,IF(DAY(E19)=27,Resumen!$C$11,IF(DAY(E19)=28,Resumen!$C$12,IF(DAY(E19)=29,Resumen!$C$13,IF(DAY(E19)=30,Resumen!$C$15,IF(DAY(E19)=31,Resumen!$C$16,IF(B19="do","// "&amp;UPPER(D19)&amp;" SEMANA "&amp;C19,"")))))))),Resumen!$C$15)))</f>
        <v/>
      </c>
    </row>
    <row r="20" spans="1:8">
      <c r="A20">
        <f t="shared" si="10"/>
        <v>2026</v>
      </c>
      <c r="B20" t="str">
        <f t="shared" si="11"/>
        <v>vi</v>
      </c>
      <c r="C20">
        <v>2</v>
      </c>
      <c r="D20" t="s">
        <v>1495</v>
      </c>
      <c r="E20" s="14">
        <f t="shared" si="12"/>
        <v>46031</v>
      </c>
      <c r="F20" t="str">
        <f t="shared" si="13"/>
        <v>navidad_s2_vi</v>
      </c>
      <c r="G20" s="15" t="str">
        <f t="shared" si="14"/>
        <v>"09/01/2026": "navidad_s2_vi",</v>
      </c>
      <c r="H20" s="13" t="str">
        <f>IF(MONTH(E20)=1,IF(DAY(E20)=1,Resumen!$C$17,IF(DAY(E20)=6,Resumen!$C$18,IF(AND(WEEKDAY(E20)=1,E20&gt;DATE(YEAR(E20),1,6),E20&lt;DATE(YEAR(E20),1,14)),Resumen!$C$19,""))),IF(E20=(DATE(YEAR(E20),12,31)-WEEKDAY(DATE(YEAR(E20),12,31)-1,1)),Resumen!$C$14,IF(MONTH(E20)=12,IF(DAY(E20)=25,Resumen!$C$9,IF(DAY(E20)=26,Resumen!$C$10,IF(DAY(E20)=27,Resumen!$C$11,IF(DAY(E20)=28,Resumen!$C$12,IF(DAY(E20)=29,Resumen!$C$13,IF(DAY(E20)=30,Resumen!$C$15,IF(DAY(E20)=31,Resumen!$C$16,IF(B20="do","// "&amp;UPPER(D20)&amp;" SEMANA "&amp;C20,"")))))))),Resumen!$C$15)))</f>
        <v/>
      </c>
    </row>
    <row r="21" spans="1:8">
      <c r="A21">
        <f t="shared" si="10"/>
        <v>2026</v>
      </c>
      <c r="B21" t="str">
        <f t="shared" si="11"/>
        <v>sa</v>
      </c>
      <c r="C21">
        <v>2</v>
      </c>
      <c r="D21" t="s">
        <v>1495</v>
      </c>
      <c r="E21" s="14">
        <f t="shared" si="12"/>
        <v>46032</v>
      </c>
      <c r="F21" t="str">
        <f t="shared" si="13"/>
        <v>navidad_s2_sa</v>
      </c>
      <c r="G21" s="15" t="str">
        <f t="shared" si="14"/>
        <v>"10/01/2026": "navidad_s2_sa",</v>
      </c>
      <c r="H21" s="13" t="str">
        <f>IF(MONTH(E21)=1,IF(DAY(E21)=1,Resumen!$C$17,IF(DAY(E21)=6,Resumen!$C$18,IF(AND(WEEKDAY(E21)=1,E21&gt;DATE(YEAR(E21),1,6),E21&lt;DATE(YEAR(E21),1,14)),Resumen!$C$19,""))),IF(E21=(DATE(YEAR(E21),12,31)-WEEKDAY(DATE(YEAR(E21),12,31)-1,1)),Resumen!$C$14,IF(MONTH(E21)=12,IF(DAY(E21)=25,Resumen!$C$9,IF(DAY(E21)=26,Resumen!$C$10,IF(DAY(E21)=27,Resumen!$C$11,IF(DAY(E21)=28,Resumen!$C$12,IF(DAY(E21)=29,Resumen!$C$13,IF(DAY(E21)=30,Resumen!$C$15,IF(DAY(E21)=31,Resumen!$C$16,IF(B21="do","// "&amp;UPPER(D21)&amp;" SEMANA "&amp;C21,"")))))))),Resumen!$C$15)))</f>
        <v/>
      </c>
    </row>
    <row r="22" spans="1:8">
      <c r="A22">
        <f t="shared" si="10"/>
        <v>2026</v>
      </c>
      <c r="B22" t="str">
        <f t="shared" si="11"/>
        <v>do</v>
      </c>
      <c r="C22">
        <v>1</v>
      </c>
      <c r="D22" t="s">
        <v>1496</v>
      </c>
      <c r="E22" s="14">
        <f t="shared" si="12"/>
        <v>46033</v>
      </c>
      <c r="F22" t="str">
        <f t="shared" si="13"/>
        <v>ordinario_s1_do</v>
      </c>
      <c r="G22" s="15" t="str">
        <f t="shared" si="14"/>
        <v>"11/01/2026": "ordinario_s1_do",</v>
      </c>
      <c r="H22" s="13" t="str">
        <f>IF(MONTH(E22)=1,IF(DAY(E22)=1,Resumen!$C$17,IF(DAY(E22)=6,Resumen!$C$18,IF(AND(WEEKDAY(E22)=1,E22&gt;DATE(YEAR(E22),1,6),E22&lt;DATE(YEAR(E22),1,14)),Resumen!$C$19,""))),IF(E22=(DATE(YEAR(E22),12,31)-WEEKDAY(DATE(YEAR(E22),12,31)-1,1)),Resumen!$C$14,IF(MONTH(E22)=12,IF(DAY(E22)=25,Resumen!$C$9,IF(DAY(E22)=26,Resumen!$C$10,IF(DAY(E22)=27,Resumen!$C$11,IF(DAY(E22)=28,Resumen!$C$12,IF(DAY(E22)=29,Resumen!$C$13,IF(DAY(E22)=30,Resumen!$C$15,IF(DAY(E22)=31,Resumen!$C$16,IF(B22="do","// "&amp;UPPER(D22)&amp;" SEMANA "&amp;C22,"")))))))),Resumen!$C$15)))</f>
        <v>"//  El Bautismo del Señor"</v>
      </c>
    </row>
    <row r="23" spans="1:8">
      <c r="A23">
        <f t="shared" si="10"/>
        <v>2026</v>
      </c>
      <c r="B23" t="str">
        <f t="shared" si="11"/>
        <v>lu</v>
      </c>
      <c r="C23">
        <f>+C22</f>
        <v>1</v>
      </c>
      <c r="D23" t="s">
        <v>1496</v>
      </c>
      <c r="E23" s="14">
        <f t="shared" si="12"/>
        <v>46034</v>
      </c>
      <c r="F23" t="str">
        <f t="shared" si="13"/>
        <v>ordinario_s1_lu</v>
      </c>
      <c r="G23" s="15" t="str">
        <f t="shared" si="14"/>
        <v>"12/01/2026": "ordinario_s1_lu",</v>
      </c>
      <c r="H23" t="str">
        <f t="shared" ref="H8:H71" si="15">IF(B23="do", "// TIEMPO " &amp; UPPER(D23) &amp; " SEMANA " &amp; C23, "")</f>
        <v/>
      </c>
    </row>
    <row r="24" spans="1:8">
      <c r="A24">
        <f t="shared" si="10"/>
        <v>2026</v>
      </c>
      <c r="B24" t="str">
        <f t="shared" si="11"/>
        <v>ma</v>
      </c>
      <c r="C24">
        <f t="shared" ref="C24:C87" si="16">+C23</f>
        <v>1</v>
      </c>
      <c r="D24" t="s">
        <v>1496</v>
      </c>
      <c r="E24" s="14">
        <f t="shared" si="12"/>
        <v>46035</v>
      </c>
      <c r="F24" t="str">
        <f t="shared" si="13"/>
        <v>ordinario_s1_ma</v>
      </c>
      <c r="G24" s="15" t="str">
        <f t="shared" si="14"/>
        <v>"13/01/2026": "ordinario_s1_ma",</v>
      </c>
      <c r="H24" t="str">
        <f t="shared" si="15"/>
        <v/>
      </c>
    </row>
    <row r="25" spans="1:8">
      <c r="A25">
        <f t="shared" si="10"/>
        <v>2026</v>
      </c>
      <c r="B25" t="str">
        <f t="shared" si="11"/>
        <v>mi</v>
      </c>
      <c r="C25">
        <f t="shared" si="16"/>
        <v>1</v>
      </c>
      <c r="D25" t="s">
        <v>1496</v>
      </c>
      <c r="E25" s="14">
        <f t="shared" si="12"/>
        <v>46036</v>
      </c>
      <c r="F25" t="str">
        <f t="shared" si="13"/>
        <v>ordinario_s1_mi</v>
      </c>
      <c r="G25" s="15" t="str">
        <f t="shared" si="14"/>
        <v>"14/01/2026": "ordinario_s1_mi",</v>
      </c>
      <c r="H25" t="str">
        <f t="shared" si="15"/>
        <v/>
      </c>
    </row>
    <row r="26" spans="1:8">
      <c r="A26">
        <f t="shared" si="10"/>
        <v>2026</v>
      </c>
      <c r="B26" t="str">
        <f t="shared" si="11"/>
        <v>ju</v>
      </c>
      <c r="C26">
        <f t="shared" si="16"/>
        <v>1</v>
      </c>
      <c r="D26" t="s">
        <v>1496</v>
      </c>
      <c r="E26" s="14">
        <f t="shared" si="12"/>
        <v>46037</v>
      </c>
      <c r="F26" t="str">
        <f t="shared" si="13"/>
        <v>ordinario_s1_ju</v>
      </c>
      <c r="G26" s="15" t="str">
        <f t="shared" si="14"/>
        <v>"15/01/2026": "ordinario_s1_ju",</v>
      </c>
      <c r="H26" t="str">
        <f t="shared" si="15"/>
        <v/>
      </c>
    </row>
    <row r="27" spans="1:8">
      <c r="A27">
        <f t="shared" si="10"/>
        <v>2026</v>
      </c>
      <c r="B27" t="str">
        <f t="shared" si="11"/>
        <v>vi</v>
      </c>
      <c r="C27">
        <f t="shared" si="16"/>
        <v>1</v>
      </c>
      <c r="D27" t="s">
        <v>1496</v>
      </c>
      <c r="E27" s="14">
        <f t="shared" si="12"/>
        <v>46038</v>
      </c>
      <c r="F27" t="str">
        <f t="shared" si="13"/>
        <v>ordinario_s1_vi</v>
      </c>
      <c r="G27" s="15" t="str">
        <f t="shared" si="14"/>
        <v>"16/01/2026": "ordinario_s1_vi",</v>
      </c>
      <c r="H27" t="str">
        <f t="shared" si="15"/>
        <v/>
      </c>
    </row>
    <row r="28" spans="1:8">
      <c r="A28">
        <f t="shared" si="10"/>
        <v>2026</v>
      </c>
      <c r="B28" t="str">
        <f t="shared" si="11"/>
        <v>sa</v>
      </c>
      <c r="C28">
        <f t="shared" si="16"/>
        <v>1</v>
      </c>
      <c r="D28" t="s">
        <v>1496</v>
      </c>
      <c r="E28" s="14">
        <f t="shared" si="12"/>
        <v>46039</v>
      </c>
      <c r="F28" t="str">
        <f t="shared" si="13"/>
        <v>ordinario_s1_sa</v>
      </c>
      <c r="G28" s="15" t="str">
        <f t="shared" si="14"/>
        <v>"17/01/2026": "ordinario_s1_sa",</v>
      </c>
      <c r="H28" t="str">
        <f t="shared" si="15"/>
        <v/>
      </c>
    </row>
    <row r="29" spans="1:8">
      <c r="A29">
        <f t="shared" si="10"/>
        <v>2026</v>
      </c>
      <c r="B29" t="str">
        <f t="shared" si="11"/>
        <v>do</v>
      </c>
      <c r="C29">
        <v>2</v>
      </c>
      <c r="D29" t="s">
        <v>1496</v>
      </c>
      <c r="E29" s="14">
        <f t="shared" si="12"/>
        <v>46040</v>
      </c>
      <c r="F29" t="str">
        <f t="shared" si="13"/>
        <v>ordinario_s2_do</v>
      </c>
      <c r="G29" s="15" t="str">
        <f t="shared" si="14"/>
        <v>"18/01/2026": "ordinario_s2_do",</v>
      </c>
      <c r="H29" t="str">
        <f t="shared" si="15"/>
        <v>// TIEMPO ORDINARIO SEMANA 2</v>
      </c>
    </row>
    <row r="30" spans="1:8">
      <c r="A30">
        <f t="shared" si="10"/>
        <v>2026</v>
      </c>
      <c r="B30" t="str">
        <f t="shared" si="11"/>
        <v>lu</v>
      </c>
      <c r="C30">
        <f t="shared" si="16"/>
        <v>2</v>
      </c>
      <c r="D30" t="s">
        <v>1496</v>
      </c>
      <c r="E30" s="14">
        <f t="shared" si="12"/>
        <v>46041</v>
      </c>
      <c r="F30" t="str">
        <f t="shared" si="13"/>
        <v>ordinario_s2_lu</v>
      </c>
      <c r="G30" s="15" t="str">
        <f t="shared" si="14"/>
        <v>"19/01/2026": "ordinario_s2_lu",</v>
      </c>
      <c r="H30" t="str">
        <f t="shared" si="15"/>
        <v/>
      </c>
    </row>
    <row r="31" spans="1:8">
      <c r="A31">
        <f t="shared" si="10"/>
        <v>2026</v>
      </c>
      <c r="B31" t="str">
        <f t="shared" si="11"/>
        <v>ma</v>
      </c>
      <c r="C31">
        <f t="shared" si="16"/>
        <v>2</v>
      </c>
      <c r="D31" t="s">
        <v>1496</v>
      </c>
      <c r="E31" s="14">
        <f t="shared" si="12"/>
        <v>46042</v>
      </c>
      <c r="F31" t="str">
        <f t="shared" si="13"/>
        <v>ordinario_s2_ma</v>
      </c>
      <c r="G31" s="15" t="str">
        <f t="shared" si="14"/>
        <v>"20/01/2026": "ordinario_s2_ma",</v>
      </c>
      <c r="H31" t="str">
        <f t="shared" si="15"/>
        <v/>
      </c>
    </row>
    <row r="32" spans="1:8">
      <c r="A32">
        <f t="shared" si="10"/>
        <v>2026</v>
      </c>
      <c r="B32" t="str">
        <f t="shared" si="11"/>
        <v>mi</v>
      </c>
      <c r="C32">
        <f t="shared" si="16"/>
        <v>2</v>
      </c>
      <c r="D32" t="s">
        <v>1496</v>
      </c>
      <c r="E32" s="14">
        <f t="shared" si="12"/>
        <v>46043</v>
      </c>
      <c r="F32" t="str">
        <f t="shared" si="13"/>
        <v>ordinario_s2_mi</v>
      </c>
      <c r="G32" s="15" t="str">
        <f t="shared" si="14"/>
        <v>"21/01/2026": "ordinario_s2_mi",</v>
      </c>
      <c r="H32" t="str">
        <f t="shared" si="15"/>
        <v/>
      </c>
    </row>
    <row r="33" spans="1:8">
      <c r="A33">
        <f t="shared" si="10"/>
        <v>2026</v>
      </c>
      <c r="B33" t="str">
        <f t="shared" si="11"/>
        <v>ju</v>
      </c>
      <c r="C33">
        <f t="shared" si="16"/>
        <v>2</v>
      </c>
      <c r="D33" t="s">
        <v>1496</v>
      </c>
      <c r="E33" s="14">
        <f t="shared" si="12"/>
        <v>46044</v>
      </c>
      <c r="F33" t="str">
        <f t="shared" si="13"/>
        <v>ordinario_s2_ju</v>
      </c>
      <c r="G33" s="15" t="str">
        <f t="shared" si="14"/>
        <v>"22/01/2026": "ordinario_s2_ju",</v>
      </c>
      <c r="H33" t="str">
        <f t="shared" si="15"/>
        <v/>
      </c>
    </row>
    <row r="34" spans="1:8">
      <c r="A34">
        <f t="shared" si="10"/>
        <v>2026</v>
      </c>
      <c r="B34" t="str">
        <f t="shared" si="11"/>
        <v>vi</v>
      </c>
      <c r="C34">
        <f t="shared" si="16"/>
        <v>2</v>
      </c>
      <c r="D34" t="s">
        <v>1496</v>
      </c>
      <c r="E34" s="14">
        <f t="shared" si="12"/>
        <v>46045</v>
      </c>
      <c r="F34" t="str">
        <f t="shared" si="13"/>
        <v>ordinario_s2_vi</v>
      </c>
      <c r="G34" s="15" t="str">
        <f t="shared" si="14"/>
        <v>"23/01/2026": "ordinario_s2_vi",</v>
      </c>
      <c r="H34" t="str">
        <f t="shared" si="15"/>
        <v/>
      </c>
    </row>
    <row r="35" spans="1:8">
      <c r="A35">
        <f t="shared" si="10"/>
        <v>2026</v>
      </c>
      <c r="B35" t="str">
        <f t="shared" si="11"/>
        <v>sa</v>
      </c>
      <c r="C35">
        <f t="shared" si="16"/>
        <v>2</v>
      </c>
      <c r="D35" t="s">
        <v>1496</v>
      </c>
      <c r="E35" s="14">
        <f t="shared" si="12"/>
        <v>46046</v>
      </c>
      <c r="F35" t="str">
        <f t="shared" si="13"/>
        <v>ordinario_s2_sa</v>
      </c>
      <c r="G35" s="15" t="str">
        <f t="shared" si="14"/>
        <v>"24/01/2026": "ordinario_s2_sa",</v>
      </c>
      <c r="H35" t="str">
        <f t="shared" si="15"/>
        <v/>
      </c>
    </row>
    <row r="36" spans="1:8">
      <c r="A36">
        <f t="shared" si="10"/>
        <v>2026</v>
      </c>
      <c r="B36" t="str">
        <f t="shared" si="11"/>
        <v>do</v>
      </c>
      <c r="C36">
        <v>3</v>
      </c>
      <c r="D36" t="s">
        <v>1496</v>
      </c>
      <c r="E36" s="14">
        <f t="shared" si="12"/>
        <v>46047</v>
      </c>
      <c r="F36" t="str">
        <f t="shared" si="13"/>
        <v>ordinario_s3_do</v>
      </c>
      <c r="G36" s="15" t="str">
        <f t="shared" si="14"/>
        <v>"25/01/2026": "ordinario_s3_do",</v>
      </c>
      <c r="H36" t="str">
        <f t="shared" si="15"/>
        <v>// TIEMPO ORDINARIO SEMANA 3</v>
      </c>
    </row>
    <row r="37" spans="1:8">
      <c r="A37">
        <f t="shared" si="10"/>
        <v>2026</v>
      </c>
      <c r="B37" t="str">
        <f t="shared" si="11"/>
        <v>lu</v>
      </c>
      <c r="C37">
        <f t="shared" si="16"/>
        <v>3</v>
      </c>
      <c r="D37" t="s">
        <v>1496</v>
      </c>
      <c r="E37" s="14">
        <f t="shared" si="12"/>
        <v>46048</v>
      </c>
      <c r="F37" t="str">
        <f t="shared" si="13"/>
        <v>ordinario_s3_lu</v>
      </c>
      <c r="G37" s="15" t="str">
        <f t="shared" si="14"/>
        <v>"26/01/2026": "ordinario_s3_lu",</v>
      </c>
      <c r="H37" t="str">
        <f t="shared" si="15"/>
        <v/>
      </c>
    </row>
    <row r="38" spans="1:8">
      <c r="A38">
        <f t="shared" si="10"/>
        <v>2026</v>
      </c>
      <c r="B38" t="str">
        <f t="shared" si="11"/>
        <v>ma</v>
      </c>
      <c r="C38">
        <f t="shared" si="16"/>
        <v>3</v>
      </c>
      <c r="D38" t="s">
        <v>1496</v>
      </c>
      <c r="E38" s="14">
        <f t="shared" si="12"/>
        <v>46049</v>
      </c>
      <c r="F38" t="str">
        <f t="shared" si="13"/>
        <v>ordinario_s3_ma</v>
      </c>
      <c r="G38" s="15" t="str">
        <f t="shared" si="14"/>
        <v>"27/01/2026": "ordinario_s3_ma",</v>
      </c>
      <c r="H38" t="str">
        <f t="shared" si="15"/>
        <v/>
      </c>
    </row>
    <row r="39" spans="1:8">
      <c r="A39">
        <f t="shared" si="10"/>
        <v>2026</v>
      </c>
      <c r="B39" t="str">
        <f t="shared" si="11"/>
        <v>mi</v>
      </c>
      <c r="C39">
        <f t="shared" si="16"/>
        <v>3</v>
      </c>
      <c r="D39" t="s">
        <v>1496</v>
      </c>
      <c r="E39" s="14">
        <f t="shared" si="12"/>
        <v>46050</v>
      </c>
      <c r="F39" t="str">
        <f t="shared" si="13"/>
        <v>ordinario_s3_mi</v>
      </c>
      <c r="G39" s="15" t="str">
        <f t="shared" si="14"/>
        <v>"28/01/2026": "ordinario_s3_mi",</v>
      </c>
      <c r="H39" t="str">
        <f t="shared" si="15"/>
        <v/>
      </c>
    </row>
    <row r="40" spans="1:8">
      <c r="A40">
        <f t="shared" si="10"/>
        <v>2026</v>
      </c>
      <c r="B40" t="str">
        <f t="shared" si="11"/>
        <v>ju</v>
      </c>
      <c r="C40">
        <f t="shared" si="16"/>
        <v>3</v>
      </c>
      <c r="D40" t="s">
        <v>1496</v>
      </c>
      <c r="E40" s="14">
        <f t="shared" si="12"/>
        <v>46051</v>
      </c>
      <c r="F40" t="str">
        <f t="shared" si="13"/>
        <v>ordinario_s3_ju</v>
      </c>
      <c r="G40" s="15" t="str">
        <f t="shared" si="14"/>
        <v>"29/01/2026": "ordinario_s3_ju",</v>
      </c>
      <c r="H40" t="str">
        <f t="shared" si="15"/>
        <v/>
      </c>
    </row>
    <row r="41" spans="1:8">
      <c r="A41">
        <f t="shared" si="10"/>
        <v>2026</v>
      </c>
      <c r="B41" t="str">
        <f t="shared" si="11"/>
        <v>vi</v>
      </c>
      <c r="C41">
        <f t="shared" si="16"/>
        <v>3</v>
      </c>
      <c r="D41" t="s">
        <v>1496</v>
      </c>
      <c r="E41" s="14">
        <f t="shared" si="12"/>
        <v>46052</v>
      </c>
      <c r="F41" t="str">
        <f t="shared" si="13"/>
        <v>ordinario_s3_vi</v>
      </c>
      <c r="G41" s="15" t="str">
        <f t="shared" si="14"/>
        <v>"30/01/2026": "ordinario_s3_vi",</v>
      </c>
      <c r="H41" t="str">
        <f t="shared" si="15"/>
        <v/>
      </c>
    </row>
    <row r="42" spans="1:8">
      <c r="A42">
        <f t="shared" si="10"/>
        <v>2026</v>
      </c>
      <c r="B42" t="str">
        <f t="shared" si="11"/>
        <v>sa</v>
      </c>
      <c r="C42">
        <f t="shared" si="16"/>
        <v>3</v>
      </c>
      <c r="D42" t="s">
        <v>1496</v>
      </c>
      <c r="E42" s="14">
        <f t="shared" si="12"/>
        <v>46053</v>
      </c>
      <c r="F42" t="str">
        <f t="shared" si="13"/>
        <v>ordinario_s3_sa</v>
      </c>
      <c r="G42" s="15" t="str">
        <f t="shared" si="14"/>
        <v>"31/01/2026": "ordinario_s3_sa",</v>
      </c>
      <c r="H42" t="str">
        <f t="shared" si="15"/>
        <v/>
      </c>
    </row>
    <row r="43" spans="1:8">
      <c r="A43">
        <f t="shared" si="10"/>
        <v>2026</v>
      </c>
      <c r="B43" t="str">
        <f t="shared" si="11"/>
        <v>do</v>
      </c>
      <c r="C43">
        <f>C42+1</f>
        <v>4</v>
      </c>
      <c r="D43" t="s">
        <v>1496</v>
      </c>
      <c r="E43" s="14">
        <f t="shared" si="12"/>
        <v>46054</v>
      </c>
      <c r="F43" t="str">
        <f t="shared" si="13"/>
        <v>ordinario_s4_do</v>
      </c>
      <c r="G43" s="15" t="str">
        <f t="shared" si="14"/>
        <v>"01/02/2026": "ordinario_s4_do",</v>
      </c>
      <c r="H43" t="str">
        <f t="shared" si="15"/>
        <v>// TIEMPO ORDINARIO SEMANA 4</v>
      </c>
    </row>
    <row r="44" spans="1:8">
      <c r="A44">
        <f t="shared" si="10"/>
        <v>2026</v>
      </c>
      <c r="B44" t="str">
        <f t="shared" si="11"/>
        <v>lu</v>
      </c>
      <c r="C44">
        <f t="shared" si="16"/>
        <v>4</v>
      </c>
      <c r="D44" t="s">
        <v>1496</v>
      </c>
      <c r="E44" s="14">
        <f t="shared" si="12"/>
        <v>46055</v>
      </c>
      <c r="F44" t="str">
        <f t="shared" si="13"/>
        <v>ordinario_s4_lu</v>
      </c>
      <c r="G44" s="15" t="str">
        <f t="shared" si="14"/>
        <v>"02/02/2026": "ordinario_s4_lu",</v>
      </c>
      <c r="H44" t="str">
        <f t="shared" si="15"/>
        <v/>
      </c>
    </row>
    <row r="45" spans="1:8">
      <c r="A45">
        <f t="shared" si="10"/>
        <v>2026</v>
      </c>
      <c r="B45" t="str">
        <f t="shared" si="11"/>
        <v>ma</v>
      </c>
      <c r="C45">
        <f t="shared" si="16"/>
        <v>4</v>
      </c>
      <c r="D45" t="s">
        <v>1496</v>
      </c>
      <c r="E45" s="14">
        <f t="shared" si="12"/>
        <v>46056</v>
      </c>
      <c r="F45" t="str">
        <f t="shared" si="13"/>
        <v>ordinario_s4_ma</v>
      </c>
      <c r="G45" s="15" t="str">
        <f t="shared" si="14"/>
        <v>"03/02/2026": "ordinario_s4_ma",</v>
      </c>
      <c r="H45" t="str">
        <f t="shared" si="15"/>
        <v/>
      </c>
    </row>
    <row r="46" spans="1:8">
      <c r="A46">
        <f t="shared" si="10"/>
        <v>2026</v>
      </c>
      <c r="B46" t="str">
        <f t="shared" si="11"/>
        <v>mi</v>
      </c>
      <c r="C46">
        <f t="shared" si="16"/>
        <v>4</v>
      </c>
      <c r="D46" t="s">
        <v>1496</v>
      </c>
      <c r="E46" s="14">
        <f t="shared" si="12"/>
        <v>46057</v>
      </c>
      <c r="F46" t="str">
        <f t="shared" si="13"/>
        <v>ordinario_s4_mi</v>
      </c>
      <c r="G46" s="15" t="str">
        <f t="shared" si="14"/>
        <v>"04/02/2026": "ordinario_s4_mi",</v>
      </c>
      <c r="H46" t="str">
        <f t="shared" si="15"/>
        <v/>
      </c>
    </row>
    <row r="47" spans="1:8">
      <c r="A47">
        <f t="shared" si="10"/>
        <v>2026</v>
      </c>
      <c r="B47" t="str">
        <f t="shared" si="11"/>
        <v>ju</v>
      </c>
      <c r="C47">
        <f t="shared" si="16"/>
        <v>4</v>
      </c>
      <c r="D47" t="s">
        <v>1496</v>
      </c>
      <c r="E47" s="14">
        <f t="shared" si="12"/>
        <v>46058</v>
      </c>
      <c r="F47" t="str">
        <f t="shared" si="13"/>
        <v>ordinario_s4_ju</v>
      </c>
      <c r="G47" s="15" t="str">
        <f t="shared" si="14"/>
        <v>"05/02/2026": "ordinario_s4_ju",</v>
      </c>
      <c r="H47" t="str">
        <f t="shared" si="15"/>
        <v/>
      </c>
    </row>
    <row r="48" spans="1:8">
      <c r="A48">
        <f t="shared" si="10"/>
        <v>2026</v>
      </c>
      <c r="B48" t="str">
        <f t="shared" si="11"/>
        <v>vi</v>
      </c>
      <c r="C48">
        <f t="shared" si="16"/>
        <v>4</v>
      </c>
      <c r="D48" t="s">
        <v>1496</v>
      </c>
      <c r="E48" s="14">
        <f t="shared" si="12"/>
        <v>46059</v>
      </c>
      <c r="F48" t="str">
        <f t="shared" si="13"/>
        <v>ordinario_s4_vi</v>
      </c>
      <c r="G48" s="15" t="str">
        <f t="shared" si="14"/>
        <v>"06/02/2026": "ordinario_s4_vi",</v>
      </c>
      <c r="H48" t="str">
        <f t="shared" si="15"/>
        <v/>
      </c>
    </row>
    <row r="49" spans="1:8">
      <c r="A49">
        <f t="shared" si="10"/>
        <v>2026</v>
      </c>
      <c r="B49" t="str">
        <f t="shared" si="11"/>
        <v>sa</v>
      </c>
      <c r="C49">
        <f t="shared" si="16"/>
        <v>4</v>
      </c>
      <c r="D49" t="s">
        <v>1496</v>
      </c>
      <c r="E49" s="14">
        <f t="shared" si="12"/>
        <v>46060</v>
      </c>
      <c r="F49" t="str">
        <f t="shared" si="13"/>
        <v>ordinario_s4_sa</v>
      </c>
      <c r="G49" s="15" t="str">
        <f t="shared" si="14"/>
        <v>"07/02/2026": "ordinario_s4_sa",</v>
      </c>
      <c r="H49" t="str">
        <f t="shared" si="15"/>
        <v/>
      </c>
    </row>
    <row r="50" spans="1:8">
      <c r="A50">
        <f t="shared" si="10"/>
        <v>2026</v>
      </c>
      <c r="B50" t="str">
        <f t="shared" si="11"/>
        <v>do</v>
      </c>
      <c r="C50">
        <f>C49+1</f>
        <v>5</v>
      </c>
      <c r="D50" t="s">
        <v>1496</v>
      </c>
      <c r="E50" s="14">
        <f t="shared" si="12"/>
        <v>46061</v>
      </c>
      <c r="F50" t="str">
        <f t="shared" si="13"/>
        <v>ordinario_s5_do</v>
      </c>
      <c r="G50" s="15" t="str">
        <f t="shared" si="14"/>
        <v>"08/02/2026": "ordinario_s5_do",</v>
      </c>
      <c r="H50" t="str">
        <f t="shared" si="15"/>
        <v>// TIEMPO ORDINARIO SEMANA 5</v>
      </c>
    </row>
    <row r="51" spans="1:8">
      <c r="A51">
        <f t="shared" si="10"/>
        <v>2026</v>
      </c>
      <c r="B51" t="str">
        <f t="shared" si="11"/>
        <v>lu</v>
      </c>
      <c r="C51">
        <f t="shared" si="16"/>
        <v>5</v>
      </c>
      <c r="D51" t="s">
        <v>1496</v>
      </c>
      <c r="E51" s="14">
        <f t="shared" si="12"/>
        <v>46062</v>
      </c>
      <c r="F51" t="str">
        <f t="shared" si="13"/>
        <v>ordinario_s5_lu</v>
      </c>
      <c r="G51" s="15" t="str">
        <f t="shared" si="14"/>
        <v>"09/02/2026": "ordinario_s5_lu",</v>
      </c>
      <c r="H51" t="str">
        <f t="shared" si="15"/>
        <v/>
      </c>
    </row>
    <row r="52" spans="1:8">
      <c r="A52">
        <f t="shared" si="10"/>
        <v>2026</v>
      </c>
      <c r="B52" t="str">
        <f t="shared" si="11"/>
        <v>ma</v>
      </c>
      <c r="C52">
        <f t="shared" si="16"/>
        <v>5</v>
      </c>
      <c r="D52" t="s">
        <v>1496</v>
      </c>
      <c r="E52" s="14">
        <f t="shared" si="12"/>
        <v>46063</v>
      </c>
      <c r="F52" t="str">
        <f t="shared" si="13"/>
        <v>ordinario_s5_ma</v>
      </c>
      <c r="G52" s="15" t="str">
        <f t="shared" si="14"/>
        <v>"10/02/2026": "ordinario_s5_ma",</v>
      </c>
      <c r="H52" t="str">
        <f t="shared" si="15"/>
        <v/>
      </c>
    </row>
    <row r="53" spans="1:8">
      <c r="A53">
        <f t="shared" si="10"/>
        <v>2026</v>
      </c>
      <c r="B53" t="str">
        <f t="shared" si="11"/>
        <v>mi</v>
      </c>
      <c r="C53">
        <f t="shared" si="16"/>
        <v>5</v>
      </c>
      <c r="D53" t="s">
        <v>1496</v>
      </c>
      <c r="E53" s="14">
        <f t="shared" si="12"/>
        <v>46064</v>
      </c>
      <c r="F53" t="str">
        <f t="shared" si="13"/>
        <v>ordinario_s5_mi</v>
      </c>
      <c r="G53" s="15" t="str">
        <f t="shared" si="14"/>
        <v>"11/02/2026": "ordinario_s5_mi",</v>
      </c>
      <c r="H53" t="str">
        <f t="shared" si="15"/>
        <v/>
      </c>
    </row>
    <row r="54" spans="1:8">
      <c r="A54">
        <f t="shared" si="10"/>
        <v>2026</v>
      </c>
      <c r="B54" t="str">
        <f t="shared" si="11"/>
        <v>ju</v>
      </c>
      <c r="C54">
        <f t="shared" si="16"/>
        <v>5</v>
      </c>
      <c r="D54" t="s">
        <v>1496</v>
      </c>
      <c r="E54" s="14">
        <f t="shared" si="12"/>
        <v>46065</v>
      </c>
      <c r="F54" t="str">
        <f t="shared" si="13"/>
        <v>ordinario_s5_ju</v>
      </c>
      <c r="G54" s="15" t="str">
        <f t="shared" si="14"/>
        <v>"12/02/2026": "ordinario_s5_ju",</v>
      </c>
      <c r="H54" t="str">
        <f t="shared" si="15"/>
        <v/>
      </c>
    </row>
    <row r="55" spans="1:8">
      <c r="A55">
        <f t="shared" si="10"/>
        <v>2026</v>
      </c>
      <c r="B55" t="str">
        <f t="shared" si="11"/>
        <v>vi</v>
      </c>
      <c r="C55">
        <f t="shared" si="16"/>
        <v>5</v>
      </c>
      <c r="D55" t="s">
        <v>1496</v>
      </c>
      <c r="E55" s="14">
        <f t="shared" si="12"/>
        <v>46066</v>
      </c>
      <c r="F55" t="str">
        <f t="shared" si="13"/>
        <v>ordinario_s5_vi</v>
      </c>
      <c r="G55" s="15" t="str">
        <f t="shared" si="14"/>
        <v>"13/02/2026": "ordinario_s5_vi",</v>
      </c>
      <c r="H55" t="str">
        <f t="shared" si="15"/>
        <v/>
      </c>
    </row>
    <row r="56" spans="1:8">
      <c r="A56">
        <f t="shared" si="10"/>
        <v>2026</v>
      </c>
      <c r="B56" t="str">
        <f t="shared" si="11"/>
        <v>sa</v>
      </c>
      <c r="C56">
        <f t="shared" si="16"/>
        <v>5</v>
      </c>
      <c r="D56" t="s">
        <v>1496</v>
      </c>
      <c r="E56" s="14">
        <f t="shared" si="12"/>
        <v>46067</v>
      </c>
      <c r="F56" t="str">
        <f t="shared" si="13"/>
        <v>ordinario_s5_sa</v>
      </c>
      <c r="G56" s="15" t="str">
        <f t="shared" si="14"/>
        <v>"14/02/2026": "ordinario_s5_sa",</v>
      </c>
      <c r="H56" t="str">
        <f t="shared" si="15"/>
        <v/>
      </c>
    </row>
    <row r="57" spans="1:8">
      <c r="A57">
        <f t="shared" si="10"/>
        <v>2026</v>
      </c>
      <c r="B57" t="str">
        <f t="shared" si="11"/>
        <v>do</v>
      </c>
      <c r="C57">
        <f>C56+1</f>
        <v>6</v>
      </c>
      <c r="D57" t="s">
        <v>1496</v>
      </c>
      <c r="E57" s="14">
        <f t="shared" si="12"/>
        <v>46068</v>
      </c>
      <c r="F57" t="str">
        <f t="shared" si="13"/>
        <v>ordinario_s6_do</v>
      </c>
      <c r="G57" s="15" t="str">
        <f t="shared" si="14"/>
        <v>"15/02/2026": "ordinario_s6_do",</v>
      </c>
      <c r="H57" t="str">
        <f t="shared" si="15"/>
        <v>// TIEMPO ORDINARIO SEMANA 6</v>
      </c>
    </row>
    <row r="58" spans="1:8">
      <c r="A58">
        <f t="shared" si="10"/>
        <v>2026</v>
      </c>
      <c r="B58" t="str">
        <f t="shared" si="11"/>
        <v>lu</v>
      </c>
      <c r="C58">
        <f t="shared" si="16"/>
        <v>6</v>
      </c>
      <c r="D58" t="s">
        <v>1496</v>
      </c>
      <c r="E58" s="14">
        <f t="shared" si="12"/>
        <v>46069</v>
      </c>
      <c r="F58" t="str">
        <f t="shared" si="13"/>
        <v>ordinario_s6_lu</v>
      </c>
      <c r="G58" s="15" t="str">
        <f t="shared" si="14"/>
        <v>"16/02/2026": "ordinario_s6_lu",</v>
      </c>
      <c r="H58" t="str">
        <f t="shared" si="15"/>
        <v/>
      </c>
    </row>
    <row r="59" spans="1:8">
      <c r="A59">
        <f t="shared" si="10"/>
        <v>2026</v>
      </c>
      <c r="B59" t="str">
        <f t="shared" si="11"/>
        <v>ma</v>
      </c>
      <c r="C59">
        <f t="shared" si="16"/>
        <v>6</v>
      </c>
      <c r="D59" t="s">
        <v>1496</v>
      </c>
      <c r="E59" s="14">
        <f t="shared" si="12"/>
        <v>46070</v>
      </c>
      <c r="F59" t="str">
        <f t="shared" si="13"/>
        <v>ordinario_s6_ma</v>
      </c>
      <c r="G59" s="15" t="str">
        <f t="shared" si="14"/>
        <v>"17/02/2026": "ordinario_s6_ma",</v>
      </c>
      <c r="H59" t="str">
        <f t="shared" si="15"/>
        <v/>
      </c>
    </row>
    <row r="60" spans="1:8">
      <c r="A60">
        <f t="shared" si="10"/>
        <v>2026</v>
      </c>
      <c r="B60" t="str">
        <f t="shared" si="11"/>
        <v>mi</v>
      </c>
      <c r="C60" s="17">
        <v>0</v>
      </c>
      <c r="D60" t="s">
        <v>1526</v>
      </c>
      <c r="E60" s="14">
        <f t="shared" si="12"/>
        <v>46071</v>
      </c>
      <c r="F60" t="str">
        <f>_xlfn.CONCAT(D60,"_",B60)</f>
        <v>cuaresma_mc_mi</v>
      </c>
      <c r="G60" s="15" t="str">
        <f t="shared" si="14"/>
        <v>"18/02/2026": "cuaresma_mc_mi",</v>
      </c>
      <c r="H60" t="str">
        <f t="shared" si="15"/>
        <v/>
      </c>
    </row>
    <row r="61" spans="1:8">
      <c r="A61">
        <f t="shared" si="10"/>
        <v>2026</v>
      </c>
      <c r="B61" t="str">
        <f t="shared" si="11"/>
        <v>ju</v>
      </c>
      <c r="C61">
        <v>0</v>
      </c>
      <c r="D61" t="s">
        <v>1526</v>
      </c>
      <c r="E61" s="14">
        <f t="shared" si="12"/>
        <v>46072</v>
      </c>
      <c r="F61" t="str">
        <f>_xlfn.CONCAT(D61,"_",B61)</f>
        <v>cuaresma_mc_ju</v>
      </c>
      <c r="G61" s="15" t="str">
        <f t="shared" si="14"/>
        <v>"19/02/2026": "cuaresma_mc_ju",</v>
      </c>
      <c r="H61" t="str">
        <f t="shared" si="15"/>
        <v/>
      </c>
    </row>
    <row r="62" spans="1:8">
      <c r="A62">
        <f t="shared" si="10"/>
        <v>2026</v>
      </c>
      <c r="B62" t="str">
        <f t="shared" si="11"/>
        <v>vi</v>
      </c>
      <c r="C62">
        <v>0</v>
      </c>
      <c r="D62" t="s">
        <v>1526</v>
      </c>
      <c r="E62" s="14">
        <f t="shared" si="12"/>
        <v>46073</v>
      </c>
      <c r="F62" t="str">
        <f>_xlfn.CONCAT(D62,"_",B62)</f>
        <v>cuaresma_mc_vi</v>
      </c>
      <c r="G62" s="15" t="str">
        <f t="shared" si="14"/>
        <v>"20/02/2026": "cuaresma_mc_vi",</v>
      </c>
      <c r="H62" t="str">
        <f t="shared" si="15"/>
        <v/>
      </c>
    </row>
    <row r="63" spans="1:8">
      <c r="A63">
        <f t="shared" si="10"/>
        <v>2026</v>
      </c>
      <c r="B63" t="str">
        <f t="shared" si="11"/>
        <v>sa</v>
      </c>
      <c r="C63">
        <f t="shared" si="16"/>
        <v>0</v>
      </c>
      <c r="D63" t="s">
        <v>1526</v>
      </c>
      <c r="E63" s="14">
        <f t="shared" si="12"/>
        <v>46074</v>
      </c>
      <c r="F63" t="str">
        <f>_xlfn.CONCAT(D63,"_",B63)</f>
        <v>cuaresma_mc_sa</v>
      </c>
      <c r="G63" s="15" t="str">
        <f t="shared" si="14"/>
        <v>"21/02/2026": "cuaresma_mc_sa",</v>
      </c>
      <c r="H63" t="str">
        <f t="shared" si="15"/>
        <v/>
      </c>
    </row>
    <row r="64" spans="1:8">
      <c r="A64">
        <f t="shared" si="10"/>
        <v>2026</v>
      </c>
      <c r="B64" t="str">
        <f t="shared" si="11"/>
        <v>do</v>
      </c>
      <c r="C64" s="17">
        <f>C63+1</f>
        <v>1</v>
      </c>
      <c r="D64" t="s">
        <v>1497</v>
      </c>
      <c r="E64" s="14">
        <f t="shared" si="12"/>
        <v>46075</v>
      </c>
      <c r="F64" t="str">
        <f t="shared" si="13"/>
        <v>cuaresma_s1_do</v>
      </c>
      <c r="G64" s="15" t="str">
        <f t="shared" si="14"/>
        <v>"22/02/2026": "cuaresma_s1_do",</v>
      </c>
      <c r="H64" t="str">
        <f t="shared" si="15"/>
        <v>// TIEMPO CUARESMA SEMANA 1</v>
      </c>
    </row>
    <row r="65" spans="1:8">
      <c r="A65">
        <f t="shared" si="10"/>
        <v>2026</v>
      </c>
      <c r="B65" t="str">
        <f t="shared" si="11"/>
        <v>lu</v>
      </c>
      <c r="C65" s="17">
        <f t="shared" si="16"/>
        <v>1</v>
      </c>
      <c r="D65" t="s">
        <v>1497</v>
      </c>
      <c r="E65" s="14">
        <f t="shared" si="12"/>
        <v>46076</v>
      </c>
      <c r="F65" t="str">
        <f t="shared" si="13"/>
        <v>cuaresma_s1_lu</v>
      </c>
      <c r="G65" s="15" t="str">
        <f t="shared" si="14"/>
        <v>"23/02/2026": "cuaresma_s1_lu",</v>
      </c>
      <c r="H65" t="str">
        <f t="shared" si="15"/>
        <v/>
      </c>
    </row>
    <row r="66" spans="1:8">
      <c r="A66">
        <f t="shared" si="10"/>
        <v>2026</v>
      </c>
      <c r="B66" t="str">
        <f t="shared" si="11"/>
        <v>ma</v>
      </c>
      <c r="C66" s="17">
        <f t="shared" si="16"/>
        <v>1</v>
      </c>
      <c r="D66" t="s">
        <v>1497</v>
      </c>
      <c r="E66" s="14">
        <f t="shared" si="12"/>
        <v>46077</v>
      </c>
      <c r="F66" t="str">
        <f t="shared" si="13"/>
        <v>cuaresma_s1_ma</v>
      </c>
      <c r="G66" s="15" t="str">
        <f t="shared" si="14"/>
        <v>"24/02/2026": "cuaresma_s1_ma",</v>
      </c>
      <c r="H66" t="str">
        <f t="shared" si="15"/>
        <v/>
      </c>
    </row>
    <row r="67" spans="1:8">
      <c r="A67">
        <f t="shared" si="10"/>
        <v>2026</v>
      </c>
      <c r="B67" t="str">
        <f t="shared" si="11"/>
        <v>mi</v>
      </c>
      <c r="C67" s="17">
        <f t="shared" si="16"/>
        <v>1</v>
      </c>
      <c r="D67" t="s">
        <v>1497</v>
      </c>
      <c r="E67" s="14">
        <f t="shared" si="12"/>
        <v>46078</v>
      </c>
      <c r="F67" t="str">
        <f t="shared" si="13"/>
        <v>cuaresma_s1_mi</v>
      </c>
      <c r="G67" s="15" t="str">
        <f t="shared" si="14"/>
        <v>"25/02/2026": "cuaresma_s1_mi",</v>
      </c>
      <c r="H67" t="str">
        <f t="shared" si="15"/>
        <v/>
      </c>
    </row>
    <row r="68" spans="1:8">
      <c r="A68">
        <f t="shared" si="10"/>
        <v>2026</v>
      </c>
      <c r="B68" t="str">
        <f t="shared" si="11"/>
        <v>ju</v>
      </c>
      <c r="C68" s="17">
        <f t="shared" si="16"/>
        <v>1</v>
      </c>
      <c r="D68" t="s">
        <v>1497</v>
      </c>
      <c r="E68" s="14">
        <f t="shared" si="12"/>
        <v>46079</v>
      </c>
      <c r="F68" t="str">
        <f t="shared" si="13"/>
        <v>cuaresma_s1_ju</v>
      </c>
      <c r="G68" s="15" t="str">
        <f t="shared" si="14"/>
        <v>"26/02/2026": "cuaresma_s1_ju",</v>
      </c>
      <c r="H68" t="str">
        <f t="shared" si="15"/>
        <v/>
      </c>
    </row>
    <row r="69" spans="1:8">
      <c r="A69">
        <f t="shared" si="10"/>
        <v>2026</v>
      </c>
      <c r="B69" t="str">
        <f t="shared" si="11"/>
        <v>vi</v>
      </c>
      <c r="C69" s="17">
        <f t="shared" si="16"/>
        <v>1</v>
      </c>
      <c r="D69" t="s">
        <v>1497</v>
      </c>
      <c r="E69" s="14">
        <f t="shared" si="12"/>
        <v>46080</v>
      </c>
      <c r="F69" t="str">
        <f t="shared" si="13"/>
        <v>cuaresma_s1_vi</v>
      </c>
      <c r="G69" s="15" t="str">
        <f t="shared" si="14"/>
        <v>"27/02/2026": "cuaresma_s1_vi",</v>
      </c>
      <c r="H69" t="str">
        <f t="shared" si="15"/>
        <v/>
      </c>
    </row>
    <row r="70" spans="1:8">
      <c r="A70">
        <f t="shared" si="10"/>
        <v>2026</v>
      </c>
      <c r="B70" t="str">
        <f t="shared" si="11"/>
        <v>sa</v>
      </c>
      <c r="C70" s="17">
        <f t="shared" si="16"/>
        <v>1</v>
      </c>
      <c r="D70" t="s">
        <v>1497</v>
      </c>
      <c r="E70" s="14">
        <f t="shared" si="12"/>
        <v>46081</v>
      </c>
      <c r="F70" t="str">
        <f t="shared" si="13"/>
        <v>cuaresma_s1_sa</v>
      </c>
      <c r="G70" s="15" t="str">
        <f t="shared" si="14"/>
        <v>"28/02/2026": "cuaresma_s1_sa",</v>
      </c>
      <c r="H70" t="str">
        <f t="shared" si="15"/>
        <v/>
      </c>
    </row>
    <row r="71" spans="1:8">
      <c r="A71">
        <f t="shared" si="10"/>
        <v>2026</v>
      </c>
      <c r="B71" t="str">
        <f t="shared" si="11"/>
        <v>do</v>
      </c>
      <c r="C71" s="17">
        <f>C70+1</f>
        <v>2</v>
      </c>
      <c r="D71" t="s">
        <v>1497</v>
      </c>
      <c r="E71" s="14">
        <f t="shared" si="12"/>
        <v>46082</v>
      </c>
      <c r="F71" t="str">
        <f t="shared" si="13"/>
        <v>cuaresma_s2_do</v>
      </c>
      <c r="G71" s="15" t="str">
        <f t="shared" si="14"/>
        <v>"01/03/2026": "cuaresma_s2_do",</v>
      </c>
      <c r="H71" t="str">
        <f t="shared" si="15"/>
        <v>// TIEMPO CUARESMA SEMANA 2</v>
      </c>
    </row>
    <row r="72" spans="1:8">
      <c r="A72">
        <f t="shared" ref="A72:A140" si="17">YEAR(E72)</f>
        <v>2026</v>
      </c>
      <c r="B72" t="str">
        <f t="shared" ref="B72:B140" si="18">CHOOSE(WEEKDAY(E72), "do", "lu", "ma", "mi", "ju", "vi", "sa")</f>
        <v>lu</v>
      </c>
      <c r="C72" s="17">
        <f t="shared" si="16"/>
        <v>2</v>
      </c>
      <c r="D72" t="s">
        <v>1497</v>
      </c>
      <c r="E72" s="14">
        <f t="shared" ref="E72:E135" si="19">+E73-1</f>
        <v>46083</v>
      </c>
      <c r="F72" t="str">
        <f t="shared" ref="F72:F140" si="20">_xlfn.CONCAT(D72,"_s",C72,"_",B72)</f>
        <v>cuaresma_s2_lu</v>
      </c>
      <c r="G72" s="15" t="str">
        <f t="shared" ref="G72:G135" si="21">"""" &amp; TEXT(E72, "dd/mm/yyyy") &amp; """: """ &amp; F72 &amp; ""","</f>
        <v>"02/03/2026": "cuaresma_s2_lu",</v>
      </c>
      <c r="H72" t="str">
        <f t="shared" ref="H72:H140" si="22">IF(B72="do", "// TIEMPO " &amp; UPPER(D72) &amp; " SEMANA " &amp; C72, "")</f>
        <v/>
      </c>
    </row>
    <row r="73" spans="1:8">
      <c r="A73">
        <f t="shared" si="17"/>
        <v>2026</v>
      </c>
      <c r="B73" t="str">
        <f t="shared" si="18"/>
        <v>ma</v>
      </c>
      <c r="C73" s="17">
        <f t="shared" si="16"/>
        <v>2</v>
      </c>
      <c r="D73" t="s">
        <v>1497</v>
      </c>
      <c r="E73" s="14">
        <f t="shared" si="19"/>
        <v>46084</v>
      </c>
      <c r="F73" t="str">
        <f t="shared" si="20"/>
        <v>cuaresma_s2_ma</v>
      </c>
      <c r="G73" s="15" t="str">
        <f t="shared" si="21"/>
        <v>"03/03/2026": "cuaresma_s2_ma",</v>
      </c>
      <c r="H73" t="str">
        <f t="shared" si="22"/>
        <v/>
      </c>
    </row>
    <row r="74" spans="1:8">
      <c r="A74">
        <f t="shared" si="17"/>
        <v>2026</v>
      </c>
      <c r="B74" t="str">
        <f t="shared" si="18"/>
        <v>mi</v>
      </c>
      <c r="C74" s="17">
        <f t="shared" si="16"/>
        <v>2</v>
      </c>
      <c r="D74" t="s">
        <v>1497</v>
      </c>
      <c r="E74" s="14">
        <f t="shared" si="19"/>
        <v>46085</v>
      </c>
      <c r="F74" t="str">
        <f t="shared" si="20"/>
        <v>cuaresma_s2_mi</v>
      </c>
      <c r="G74" s="15" t="str">
        <f t="shared" si="21"/>
        <v>"04/03/2026": "cuaresma_s2_mi",</v>
      </c>
      <c r="H74" t="str">
        <f t="shared" si="22"/>
        <v/>
      </c>
    </row>
    <row r="75" spans="1:8">
      <c r="A75">
        <f t="shared" si="17"/>
        <v>2026</v>
      </c>
      <c r="B75" t="str">
        <f t="shared" si="18"/>
        <v>ju</v>
      </c>
      <c r="C75" s="17">
        <f t="shared" si="16"/>
        <v>2</v>
      </c>
      <c r="D75" t="s">
        <v>1497</v>
      </c>
      <c r="E75" s="14">
        <f t="shared" si="19"/>
        <v>46086</v>
      </c>
      <c r="F75" t="str">
        <f t="shared" si="20"/>
        <v>cuaresma_s2_ju</v>
      </c>
      <c r="G75" s="15" t="str">
        <f t="shared" si="21"/>
        <v>"05/03/2026": "cuaresma_s2_ju",</v>
      </c>
      <c r="H75" t="str">
        <f t="shared" si="22"/>
        <v/>
      </c>
    </row>
    <row r="76" spans="1:8">
      <c r="A76">
        <f t="shared" si="17"/>
        <v>2026</v>
      </c>
      <c r="B76" t="str">
        <f t="shared" si="18"/>
        <v>vi</v>
      </c>
      <c r="C76" s="17">
        <f t="shared" si="16"/>
        <v>2</v>
      </c>
      <c r="D76" t="s">
        <v>1497</v>
      </c>
      <c r="E76" s="14">
        <f t="shared" si="19"/>
        <v>46087</v>
      </c>
      <c r="F76" t="str">
        <f t="shared" si="20"/>
        <v>cuaresma_s2_vi</v>
      </c>
      <c r="G76" s="15" t="str">
        <f t="shared" si="21"/>
        <v>"06/03/2026": "cuaresma_s2_vi",</v>
      </c>
      <c r="H76" t="str">
        <f t="shared" si="22"/>
        <v/>
      </c>
    </row>
    <row r="77" spans="1:8">
      <c r="A77">
        <f t="shared" si="17"/>
        <v>2026</v>
      </c>
      <c r="B77" t="str">
        <f t="shared" si="18"/>
        <v>sa</v>
      </c>
      <c r="C77" s="17">
        <f t="shared" si="16"/>
        <v>2</v>
      </c>
      <c r="D77" t="s">
        <v>1497</v>
      </c>
      <c r="E77" s="14">
        <f t="shared" si="19"/>
        <v>46088</v>
      </c>
      <c r="F77" t="str">
        <f t="shared" si="20"/>
        <v>cuaresma_s2_sa</v>
      </c>
      <c r="G77" s="15" t="str">
        <f t="shared" si="21"/>
        <v>"07/03/2026": "cuaresma_s2_sa",</v>
      </c>
      <c r="H77" t="str">
        <f t="shared" si="22"/>
        <v/>
      </c>
    </row>
    <row r="78" spans="1:8">
      <c r="A78">
        <f t="shared" si="17"/>
        <v>2026</v>
      </c>
      <c r="B78" t="str">
        <f t="shared" si="18"/>
        <v>do</v>
      </c>
      <c r="C78" s="17">
        <f>C77+1</f>
        <v>3</v>
      </c>
      <c r="D78" t="s">
        <v>1497</v>
      </c>
      <c r="E78" s="14">
        <f t="shared" si="19"/>
        <v>46089</v>
      </c>
      <c r="F78" t="str">
        <f t="shared" si="20"/>
        <v>cuaresma_s3_do</v>
      </c>
      <c r="G78" s="15" t="str">
        <f t="shared" si="21"/>
        <v>"08/03/2026": "cuaresma_s3_do",</v>
      </c>
      <c r="H78" t="str">
        <f t="shared" si="22"/>
        <v>// TIEMPO CUARESMA SEMANA 3</v>
      </c>
    </row>
    <row r="79" spans="1:8">
      <c r="A79">
        <f t="shared" si="17"/>
        <v>2026</v>
      </c>
      <c r="B79" t="str">
        <f t="shared" si="18"/>
        <v>lu</v>
      </c>
      <c r="C79" s="17">
        <f t="shared" si="16"/>
        <v>3</v>
      </c>
      <c r="D79" t="s">
        <v>1497</v>
      </c>
      <c r="E79" s="14">
        <f t="shared" si="19"/>
        <v>46090</v>
      </c>
      <c r="F79" t="str">
        <f t="shared" si="20"/>
        <v>cuaresma_s3_lu</v>
      </c>
      <c r="G79" s="15" t="str">
        <f t="shared" si="21"/>
        <v>"09/03/2026": "cuaresma_s3_lu",</v>
      </c>
      <c r="H79" t="str">
        <f t="shared" si="22"/>
        <v/>
      </c>
    </row>
    <row r="80" spans="1:8">
      <c r="A80">
        <f t="shared" si="17"/>
        <v>2026</v>
      </c>
      <c r="B80" t="str">
        <f t="shared" si="18"/>
        <v>ma</v>
      </c>
      <c r="C80" s="17">
        <f t="shared" si="16"/>
        <v>3</v>
      </c>
      <c r="D80" t="s">
        <v>1497</v>
      </c>
      <c r="E80" s="14">
        <f t="shared" si="19"/>
        <v>46091</v>
      </c>
      <c r="F80" t="str">
        <f t="shared" si="20"/>
        <v>cuaresma_s3_ma</v>
      </c>
      <c r="G80" s="15" t="str">
        <f t="shared" si="21"/>
        <v>"10/03/2026": "cuaresma_s3_ma",</v>
      </c>
      <c r="H80" t="str">
        <f t="shared" si="22"/>
        <v/>
      </c>
    </row>
    <row r="81" spans="1:8">
      <c r="A81">
        <f t="shared" si="17"/>
        <v>2026</v>
      </c>
      <c r="B81" t="str">
        <f t="shared" si="18"/>
        <v>mi</v>
      </c>
      <c r="C81" s="17">
        <f t="shared" si="16"/>
        <v>3</v>
      </c>
      <c r="D81" t="s">
        <v>1497</v>
      </c>
      <c r="E81" s="14">
        <f t="shared" si="19"/>
        <v>46092</v>
      </c>
      <c r="F81" t="str">
        <f t="shared" si="20"/>
        <v>cuaresma_s3_mi</v>
      </c>
      <c r="G81" s="15" t="str">
        <f t="shared" si="21"/>
        <v>"11/03/2026": "cuaresma_s3_mi",</v>
      </c>
      <c r="H81" t="str">
        <f t="shared" si="22"/>
        <v/>
      </c>
    </row>
    <row r="82" spans="1:8">
      <c r="A82">
        <f t="shared" si="17"/>
        <v>2026</v>
      </c>
      <c r="B82" t="str">
        <f t="shared" si="18"/>
        <v>ju</v>
      </c>
      <c r="C82" s="17">
        <f t="shared" si="16"/>
        <v>3</v>
      </c>
      <c r="D82" t="s">
        <v>1497</v>
      </c>
      <c r="E82" s="14">
        <f t="shared" si="19"/>
        <v>46093</v>
      </c>
      <c r="F82" t="str">
        <f t="shared" si="20"/>
        <v>cuaresma_s3_ju</v>
      </c>
      <c r="G82" s="15" t="str">
        <f t="shared" si="21"/>
        <v>"12/03/2026": "cuaresma_s3_ju",</v>
      </c>
      <c r="H82" t="str">
        <f t="shared" si="22"/>
        <v/>
      </c>
    </row>
    <row r="83" spans="1:8">
      <c r="A83">
        <f t="shared" si="17"/>
        <v>2026</v>
      </c>
      <c r="B83" t="str">
        <f t="shared" si="18"/>
        <v>vi</v>
      </c>
      <c r="C83" s="17">
        <f t="shared" si="16"/>
        <v>3</v>
      </c>
      <c r="D83" t="s">
        <v>1497</v>
      </c>
      <c r="E83" s="14">
        <f t="shared" si="19"/>
        <v>46094</v>
      </c>
      <c r="F83" t="str">
        <f t="shared" si="20"/>
        <v>cuaresma_s3_vi</v>
      </c>
      <c r="G83" s="15" t="str">
        <f t="shared" si="21"/>
        <v>"13/03/2026": "cuaresma_s3_vi",</v>
      </c>
      <c r="H83" t="str">
        <f t="shared" si="22"/>
        <v/>
      </c>
    </row>
    <row r="84" spans="1:8">
      <c r="A84">
        <f t="shared" si="17"/>
        <v>2026</v>
      </c>
      <c r="B84" t="str">
        <f t="shared" si="18"/>
        <v>sa</v>
      </c>
      <c r="C84" s="17">
        <f t="shared" si="16"/>
        <v>3</v>
      </c>
      <c r="D84" t="s">
        <v>1497</v>
      </c>
      <c r="E84" s="14">
        <f t="shared" si="19"/>
        <v>46095</v>
      </c>
      <c r="F84" t="str">
        <f t="shared" si="20"/>
        <v>cuaresma_s3_sa</v>
      </c>
      <c r="G84" s="15" t="str">
        <f t="shared" si="21"/>
        <v>"14/03/2026": "cuaresma_s3_sa",</v>
      </c>
      <c r="H84" t="str">
        <f t="shared" si="22"/>
        <v/>
      </c>
    </row>
    <row r="85" spans="1:8">
      <c r="A85">
        <f t="shared" si="17"/>
        <v>2026</v>
      </c>
      <c r="B85" t="str">
        <f t="shared" si="18"/>
        <v>do</v>
      </c>
      <c r="C85" s="17">
        <f>C84+1</f>
        <v>4</v>
      </c>
      <c r="D85" t="s">
        <v>1497</v>
      </c>
      <c r="E85" s="14">
        <f t="shared" si="19"/>
        <v>46096</v>
      </c>
      <c r="F85" t="str">
        <f t="shared" si="20"/>
        <v>cuaresma_s4_do</v>
      </c>
      <c r="G85" s="15" t="str">
        <f t="shared" si="21"/>
        <v>"15/03/2026": "cuaresma_s4_do",</v>
      </c>
      <c r="H85" t="str">
        <f t="shared" si="22"/>
        <v>// TIEMPO CUARESMA SEMANA 4</v>
      </c>
    </row>
    <row r="86" spans="1:8">
      <c r="A86">
        <f t="shared" si="17"/>
        <v>2026</v>
      </c>
      <c r="B86" t="str">
        <f t="shared" si="18"/>
        <v>lu</v>
      </c>
      <c r="C86" s="17">
        <f t="shared" si="16"/>
        <v>4</v>
      </c>
      <c r="D86" t="s">
        <v>1497</v>
      </c>
      <c r="E86" s="14">
        <f t="shared" si="19"/>
        <v>46097</v>
      </c>
      <c r="F86" t="str">
        <f t="shared" si="20"/>
        <v>cuaresma_s4_lu</v>
      </c>
      <c r="G86" s="15" t="str">
        <f t="shared" si="21"/>
        <v>"16/03/2026": "cuaresma_s4_lu",</v>
      </c>
      <c r="H86" t="str">
        <f t="shared" si="22"/>
        <v/>
      </c>
    </row>
    <row r="87" spans="1:8">
      <c r="A87">
        <f t="shared" si="17"/>
        <v>2026</v>
      </c>
      <c r="B87" t="str">
        <f t="shared" si="18"/>
        <v>ma</v>
      </c>
      <c r="C87" s="17">
        <f t="shared" si="16"/>
        <v>4</v>
      </c>
      <c r="D87" t="s">
        <v>1497</v>
      </c>
      <c r="E87" s="14">
        <f t="shared" si="19"/>
        <v>46098</v>
      </c>
      <c r="F87" t="str">
        <f t="shared" si="20"/>
        <v>cuaresma_s4_ma</v>
      </c>
      <c r="G87" s="15" t="str">
        <f t="shared" si="21"/>
        <v>"17/03/2026": "cuaresma_s4_ma",</v>
      </c>
      <c r="H87" t="str">
        <f t="shared" si="22"/>
        <v/>
      </c>
    </row>
    <row r="88" spans="1:8">
      <c r="A88">
        <f t="shared" si="17"/>
        <v>2026</v>
      </c>
      <c r="B88" t="str">
        <f t="shared" si="18"/>
        <v>mi</v>
      </c>
      <c r="C88" s="17">
        <f t="shared" ref="C88:C92" si="23">+C87</f>
        <v>4</v>
      </c>
      <c r="D88" t="s">
        <v>1497</v>
      </c>
      <c r="E88" s="14">
        <f t="shared" si="19"/>
        <v>46099</v>
      </c>
      <c r="F88" t="str">
        <f t="shared" si="20"/>
        <v>cuaresma_s4_mi</v>
      </c>
      <c r="G88" s="15" t="str">
        <f t="shared" si="21"/>
        <v>"18/03/2026": "cuaresma_s4_mi",</v>
      </c>
      <c r="H88" t="str">
        <f t="shared" si="22"/>
        <v/>
      </c>
    </row>
    <row r="89" spans="1:8">
      <c r="A89">
        <f t="shared" si="17"/>
        <v>2026</v>
      </c>
      <c r="B89" t="str">
        <f t="shared" si="18"/>
        <v>ju</v>
      </c>
      <c r="C89" s="17">
        <f t="shared" si="23"/>
        <v>4</v>
      </c>
      <c r="D89" t="s">
        <v>1497</v>
      </c>
      <c r="E89" s="14">
        <f t="shared" si="19"/>
        <v>46100</v>
      </c>
      <c r="F89" t="str">
        <f t="shared" si="20"/>
        <v>cuaresma_s4_ju</v>
      </c>
      <c r="G89" s="15" t="str">
        <f t="shared" si="21"/>
        <v>"19/03/2026": "cuaresma_s4_ju",</v>
      </c>
      <c r="H89" t="str">
        <f t="shared" si="22"/>
        <v/>
      </c>
    </row>
    <row r="90" spans="1:8">
      <c r="A90">
        <f t="shared" si="17"/>
        <v>2026</v>
      </c>
      <c r="B90" t="str">
        <f t="shared" si="18"/>
        <v>vi</v>
      </c>
      <c r="C90" s="17">
        <f t="shared" si="23"/>
        <v>4</v>
      </c>
      <c r="D90" t="s">
        <v>1497</v>
      </c>
      <c r="E90" s="14">
        <f t="shared" si="19"/>
        <v>46101</v>
      </c>
      <c r="F90" t="str">
        <f t="shared" si="20"/>
        <v>cuaresma_s4_vi</v>
      </c>
      <c r="G90" s="15" t="str">
        <f t="shared" si="21"/>
        <v>"20/03/2026": "cuaresma_s4_vi",</v>
      </c>
      <c r="H90" t="str">
        <f t="shared" si="22"/>
        <v/>
      </c>
    </row>
    <row r="91" spans="1:8">
      <c r="A91">
        <f t="shared" si="17"/>
        <v>2026</v>
      </c>
      <c r="B91" t="str">
        <f t="shared" si="18"/>
        <v>sa</v>
      </c>
      <c r="C91" s="17">
        <f t="shared" si="23"/>
        <v>4</v>
      </c>
      <c r="D91" t="s">
        <v>1497</v>
      </c>
      <c r="E91" s="14">
        <f t="shared" si="19"/>
        <v>46102</v>
      </c>
      <c r="F91" t="str">
        <f t="shared" si="20"/>
        <v>cuaresma_s4_sa</v>
      </c>
      <c r="G91" s="15" t="str">
        <f t="shared" si="21"/>
        <v>"21/03/2026": "cuaresma_s4_sa",</v>
      </c>
      <c r="H91" t="str">
        <f t="shared" si="22"/>
        <v/>
      </c>
    </row>
    <row r="92" spans="1:8">
      <c r="A92">
        <f t="shared" si="17"/>
        <v>2026</v>
      </c>
      <c r="B92" t="str">
        <f t="shared" si="18"/>
        <v>do</v>
      </c>
      <c r="C92" s="17">
        <f>C91+1</f>
        <v>5</v>
      </c>
      <c r="D92" t="s">
        <v>1497</v>
      </c>
      <c r="E92" s="14">
        <f t="shared" si="19"/>
        <v>46103</v>
      </c>
      <c r="F92" t="str">
        <f t="shared" si="20"/>
        <v>cuaresma_s5_do</v>
      </c>
      <c r="G92" s="15" t="str">
        <f t="shared" si="21"/>
        <v>"22/03/2026": "cuaresma_s5_do",</v>
      </c>
      <c r="H92" t="str">
        <f t="shared" si="22"/>
        <v>// TIEMPO CUARESMA SEMANA 5</v>
      </c>
    </row>
    <row r="93" spans="1:8">
      <c r="A93">
        <f t="shared" si="17"/>
        <v>2026</v>
      </c>
      <c r="B93" t="str">
        <f t="shared" si="18"/>
        <v>lu</v>
      </c>
      <c r="C93" s="17">
        <f t="shared" ref="C93:C99" si="24">+C92</f>
        <v>5</v>
      </c>
      <c r="D93" t="s">
        <v>1497</v>
      </c>
      <c r="E93" s="14">
        <f t="shared" si="19"/>
        <v>46104</v>
      </c>
      <c r="F93" t="str">
        <f t="shared" si="20"/>
        <v>cuaresma_s5_lu</v>
      </c>
      <c r="G93" s="15" t="str">
        <f t="shared" si="21"/>
        <v>"23/03/2026": "cuaresma_s5_lu",</v>
      </c>
      <c r="H93" t="str">
        <f t="shared" si="22"/>
        <v/>
      </c>
    </row>
    <row r="94" spans="1:8">
      <c r="A94">
        <f t="shared" si="17"/>
        <v>2026</v>
      </c>
      <c r="B94" t="str">
        <f t="shared" si="18"/>
        <v>ma</v>
      </c>
      <c r="C94" s="17">
        <f t="shared" si="24"/>
        <v>5</v>
      </c>
      <c r="D94" t="s">
        <v>1497</v>
      </c>
      <c r="E94" s="14">
        <f t="shared" si="19"/>
        <v>46105</v>
      </c>
      <c r="F94" t="str">
        <f t="shared" si="20"/>
        <v>cuaresma_s5_ma</v>
      </c>
      <c r="G94" s="15" t="str">
        <f t="shared" si="21"/>
        <v>"24/03/2026": "cuaresma_s5_ma",</v>
      </c>
      <c r="H94" t="str">
        <f t="shared" si="22"/>
        <v/>
      </c>
    </row>
    <row r="95" spans="1:8">
      <c r="A95">
        <f t="shared" si="17"/>
        <v>2026</v>
      </c>
      <c r="B95" t="str">
        <f t="shared" si="18"/>
        <v>mi</v>
      </c>
      <c r="C95" s="17">
        <f t="shared" si="24"/>
        <v>5</v>
      </c>
      <c r="D95" t="s">
        <v>1497</v>
      </c>
      <c r="E95" s="14">
        <f t="shared" si="19"/>
        <v>46106</v>
      </c>
      <c r="F95" t="str">
        <f t="shared" si="20"/>
        <v>cuaresma_s5_mi</v>
      </c>
      <c r="G95" s="15" t="str">
        <f t="shared" si="21"/>
        <v>"25/03/2026": "cuaresma_s5_mi",</v>
      </c>
      <c r="H95" t="str">
        <f t="shared" si="22"/>
        <v/>
      </c>
    </row>
    <row r="96" spans="1:8">
      <c r="A96">
        <f t="shared" si="17"/>
        <v>2026</v>
      </c>
      <c r="B96" t="str">
        <f t="shared" si="18"/>
        <v>ju</v>
      </c>
      <c r="C96" s="17">
        <f t="shared" si="24"/>
        <v>5</v>
      </c>
      <c r="D96" t="s">
        <v>1497</v>
      </c>
      <c r="E96" s="14">
        <f t="shared" si="19"/>
        <v>46107</v>
      </c>
      <c r="F96" t="str">
        <f t="shared" si="20"/>
        <v>cuaresma_s5_ju</v>
      </c>
      <c r="G96" s="15" t="str">
        <f t="shared" si="21"/>
        <v>"26/03/2026": "cuaresma_s5_ju",</v>
      </c>
      <c r="H96" t="str">
        <f t="shared" si="22"/>
        <v/>
      </c>
    </row>
    <row r="97" spans="1:8">
      <c r="A97">
        <f t="shared" si="17"/>
        <v>2026</v>
      </c>
      <c r="B97" t="str">
        <f t="shared" si="18"/>
        <v>vi</v>
      </c>
      <c r="C97" s="17">
        <f t="shared" si="24"/>
        <v>5</v>
      </c>
      <c r="D97" t="s">
        <v>1497</v>
      </c>
      <c r="E97" s="14">
        <f t="shared" si="19"/>
        <v>46108</v>
      </c>
      <c r="F97" t="str">
        <f t="shared" si="20"/>
        <v>cuaresma_s5_vi</v>
      </c>
      <c r="G97" s="15" t="str">
        <f t="shared" si="21"/>
        <v>"27/03/2026": "cuaresma_s5_vi",</v>
      </c>
      <c r="H97" t="str">
        <f t="shared" si="22"/>
        <v/>
      </c>
    </row>
    <row r="98" spans="1:8">
      <c r="A98">
        <f t="shared" si="17"/>
        <v>2026</v>
      </c>
      <c r="B98" t="str">
        <f t="shared" si="18"/>
        <v>sa</v>
      </c>
      <c r="C98" s="17">
        <f t="shared" si="24"/>
        <v>5</v>
      </c>
      <c r="D98" t="s">
        <v>1497</v>
      </c>
      <c r="E98" s="14">
        <f t="shared" si="19"/>
        <v>46109</v>
      </c>
      <c r="F98" t="str">
        <f t="shared" si="20"/>
        <v>cuaresma_s5_sa</v>
      </c>
      <c r="G98" s="15" t="str">
        <f t="shared" si="21"/>
        <v>"28/03/2026": "cuaresma_s5_sa",</v>
      </c>
      <c r="H98" t="str">
        <f t="shared" si="22"/>
        <v/>
      </c>
    </row>
    <row r="99" spans="1:8">
      <c r="A99">
        <f t="shared" si="17"/>
        <v>2026</v>
      </c>
      <c r="B99" t="str">
        <f t="shared" si="18"/>
        <v>do</v>
      </c>
      <c r="C99" s="17">
        <f>C98+1</f>
        <v>6</v>
      </c>
      <c r="D99" t="s">
        <v>1497</v>
      </c>
      <c r="E99" s="14">
        <f t="shared" si="19"/>
        <v>46110</v>
      </c>
      <c r="F99" t="str">
        <f t="shared" si="20"/>
        <v>cuaresma_s6_do</v>
      </c>
      <c r="G99" s="15" t="str">
        <f t="shared" si="21"/>
        <v>"29/03/2026": "cuaresma_s6_do",</v>
      </c>
      <c r="H99" t="str">
        <f t="shared" si="22"/>
        <v>// TIEMPO CUARESMA SEMANA 6</v>
      </c>
    </row>
    <row r="100" spans="1:8">
      <c r="A100">
        <f t="shared" si="17"/>
        <v>2026</v>
      </c>
      <c r="B100" t="str">
        <f t="shared" si="18"/>
        <v>lu</v>
      </c>
      <c r="C100" s="17">
        <f t="shared" ref="C100:C112" si="25">+C99</f>
        <v>6</v>
      </c>
      <c r="D100" t="s">
        <v>1497</v>
      </c>
      <c r="E100" s="14">
        <f t="shared" si="19"/>
        <v>46111</v>
      </c>
      <c r="F100" t="str">
        <f t="shared" si="20"/>
        <v>cuaresma_s6_lu</v>
      </c>
      <c r="G100" s="15" t="str">
        <f t="shared" si="21"/>
        <v>"30/03/2026": "cuaresma_s6_lu",</v>
      </c>
      <c r="H100" t="str">
        <f t="shared" si="22"/>
        <v/>
      </c>
    </row>
    <row r="101" spans="1:8">
      <c r="A101">
        <f t="shared" si="17"/>
        <v>2026</v>
      </c>
      <c r="B101" t="str">
        <f t="shared" si="18"/>
        <v>ma</v>
      </c>
      <c r="C101" s="17">
        <f t="shared" si="25"/>
        <v>6</v>
      </c>
      <c r="D101" t="s">
        <v>1497</v>
      </c>
      <c r="E101" s="14">
        <f t="shared" si="19"/>
        <v>46112</v>
      </c>
      <c r="F101" t="str">
        <f t="shared" si="20"/>
        <v>cuaresma_s6_ma</v>
      </c>
      <c r="G101" s="15" t="str">
        <f t="shared" si="21"/>
        <v>"31/03/2026": "cuaresma_s6_ma",</v>
      </c>
      <c r="H101" t="str">
        <f t="shared" si="22"/>
        <v/>
      </c>
    </row>
    <row r="102" spans="1:8">
      <c r="A102">
        <f t="shared" si="17"/>
        <v>2026</v>
      </c>
      <c r="B102" t="str">
        <f t="shared" si="18"/>
        <v>mi</v>
      </c>
      <c r="C102" s="17">
        <f t="shared" si="25"/>
        <v>6</v>
      </c>
      <c r="D102" t="s">
        <v>1497</v>
      </c>
      <c r="E102" s="14">
        <f t="shared" si="19"/>
        <v>46113</v>
      </c>
      <c r="F102" t="str">
        <f t="shared" si="20"/>
        <v>cuaresma_s6_mi</v>
      </c>
      <c r="G102" s="15" t="str">
        <f t="shared" si="21"/>
        <v>"01/04/2026": "cuaresma_s6_mi",</v>
      </c>
      <c r="H102" t="str">
        <f t="shared" si="22"/>
        <v/>
      </c>
    </row>
    <row r="103" spans="1:8">
      <c r="A103">
        <f t="shared" si="17"/>
        <v>2026</v>
      </c>
      <c r="B103" t="str">
        <f t="shared" si="18"/>
        <v>ju</v>
      </c>
      <c r="C103" s="17">
        <f t="shared" si="25"/>
        <v>6</v>
      </c>
      <c r="D103" t="s">
        <v>1497</v>
      </c>
      <c r="E103" s="14">
        <f t="shared" si="19"/>
        <v>46114</v>
      </c>
      <c r="F103" t="str">
        <f t="shared" si="20"/>
        <v>cuaresma_s6_ju</v>
      </c>
      <c r="G103" s="15" t="str">
        <f t="shared" si="21"/>
        <v>"02/04/2026": "cuaresma_s6_ju",</v>
      </c>
      <c r="H103" t="str">
        <f t="shared" si="22"/>
        <v/>
      </c>
    </row>
    <row r="104" spans="1:8">
      <c r="A104">
        <f t="shared" si="17"/>
        <v>2026</v>
      </c>
      <c r="B104" t="str">
        <f t="shared" si="18"/>
        <v>vi</v>
      </c>
      <c r="C104" s="17">
        <f t="shared" si="25"/>
        <v>6</v>
      </c>
      <c r="D104" t="s">
        <v>1497</v>
      </c>
      <c r="E104" s="14">
        <f t="shared" si="19"/>
        <v>46115</v>
      </c>
      <c r="F104" t="str">
        <f t="shared" si="20"/>
        <v>cuaresma_s6_vi</v>
      </c>
      <c r="G104" s="15" t="str">
        <f t="shared" si="21"/>
        <v>"03/04/2026": "cuaresma_s6_vi",</v>
      </c>
      <c r="H104" t="str">
        <f t="shared" si="22"/>
        <v/>
      </c>
    </row>
    <row r="105" spans="1:8">
      <c r="A105">
        <f t="shared" si="17"/>
        <v>2026</v>
      </c>
      <c r="B105" t="str">
        <f t="shared" si="18"/>
        <v>sa</v>
      </c>
      <c r="C105" s="17">
        <f t="shared" si="25"/>
        <v>6</v>
      </c>
      <c r="D105" t="s">
        <v>1497</v>
      </c>
      <c r="E105" s="14">
        <f t="shared" si="19"/>
        <v>46116</v>
      </c>
      <c r="F105" t="str">
        <f t="shared" si="20"/>
        <v>cuaresma_s6_sa</v>
      </c>
      <c r="G105" s="15" t="str">
        <f t="shared" si="21"/>
        <v>"04/04/2026": "cuaresma_s6_sa",</v>
      </c>
      <c r="H105" t="str">
        <f t="shared" si="22"/>
        <v/>
      </c>
    </row>
    <row r="106" spans="1:8">
      <c r="A106">
        <f t="shared" si="17"/>
        <v>2026</v>
      </c>
      <c r="B106" t="str">
        <f t="shared" si="18"/>
        <v>do</v>
      </c>
      <c r="C106" s="18">
        <v>1</v>
      </c>
      <c r="D106" t="s">
        <v>1498</v>
      </c>
      <c r="E106" s="14">
        <f t="shared" si="19"/>
        <v>46117</v>
      </c>
      <c r="F106" t="str">
        <f t="shared" si="20"/>
        <v>pascua_s1_do</v>
      </c>
      <c r="G106" s="15" t="str">
        <f t="shared" si="21"/>
        <v>"05/04/2026": "pascua_s1_do",</v>
      </c>
      <c r="H106" t="str">
        <f t="shared" si="22"/>
        <v>// TIEMPO PASCUA SEMANA 1</v>
      </c>
    </row>
    <row r="107" spans="1:8">
      <c r="A107">
        <f t="shared" si="17"/>
        <v>2026</v>
      </c>
      <c r="B107" t="str">
        <f t="shared" si="18"/>
        <v>lu</v>
      </c>
      <c r="C107" s="18">
        <f t="shared" si="25"/>
        <v>1</v>
      </c>
      <c r="D107" t="s">
        <v>1498</v>
      </c>
      <c r="E107" s="14">
        <f t="shared" si="19"/>
        <v>46118</v>
      </c>
      <c r="F107" t="str">
        <f t="shared" si="20"/>
        <v>pascua_s1_lu</v>
      </c>
      <c r="G107" s="15" t="str">
        <f t="shared" si="21"/>
        <v>"06/04/2026": "pascua_s1_lu",</v>
      </c>
      <c r="H107" t="str">
        <f t="shared" si="22"/>
        <v/>
      </c>
    </row>
    <row r="108" spans="1:8">
      <c r="A108">
        <f t="shared" si="17"/>
        <v>2026</v>
      </c>
      <c r="B108" t="str">
        <f t="shared" si="18"/>
        <v>ma</v>
      </c>
      <c r="C108" s="18">
        <f t="shared" si="25"/>
        <v>1</v>
      </c>
      <c r="D108" t="s">
        <v>1498</v>
      </c>
      <c r="E108" s="14">
        <f t="shared" si="19"/>
        <v>46119</v>
      </c>
      <c r="F108" t="str">
        <f t="shared" si="20"/>
        <v>pascua_s1_ma</v>
      </c>
      <c r="G108" s="15" t="str">
        <f t="shared" si="21"/>
        <v>"07/04/2026": "pascua_s1_ma",</v>
      </c>
      <c r="H108" t="str">
        <f t="shared" si="22"/>
        <v/>
      </c>
    </row>
    <row r="109" spans="1:8">
      <c r="A109">
        <f t="shared" si="17"/>
        <v>2026</v>
      </c>
      <c r="B109" t="str">
        <f t="shared" si="18"/>
        <v>mi</v>
      </c>
      <c r="C109" s="18">
        <f t="shared" si="25"/>
        <v>1</v>
      </c>
      <c r="D109" t="s">
        <v>1498</v>
      </c>
      <c r="E109" s="14">
        <f t="shared" si="19"/>
        <v>46120</v>
      </c>
      <c r="F109" t="str">
        <f t="shared" si="20"/>
        <v>pascua_s1_mi</v>
      </c>
      <c r="G109" s="15" t="str">
        <f t="shared" si="21"/>
        <v>"08/04/2026": "pascua_s1_mi",</v>
      </c>
      <c r="H109" t="str">
        <f t="shared" si="22"/>
        <v/>
      </c>
    </row>
    <row r="110" spans="1:8">
      <c r="A110">
        <f t="shared" si="17"/>
        <v>2026</v>
      </c>
      <c r="B110" t="str">
        <f t="shared" si="18"/>
        <v>ju</v>
      </c>
      <c r="C110" s="18">
        <f t="shared" si="25"/>
        <v>1</v>
      </c>
      <c r="D110" t="s">
        <v>1498</v>
      </c>
      <c r="E110" s="14">
        <f t="shared" si="19"/>
        <v>46121</v>
      </c>
      <c r="F110" t="str">
        <f t="shared" si="20"/>
        <v>pascua_s1_ju</v>
      </c>
      <c r="G110" s="15" t="str">
        <f t="shared" si="21"/>
        <v>"09/04/2026": "pascua_s1_ju",</v>
      </c>
      <c r="H110" t="str">
        <f t="shared" si="22"/>
        <v/>
      </c>
    </row>
    <row r="111" spans="1:8">
      <c r="A111">
        <f t="shared" si="17"/>
        <v>2026</v>
      </c>
      <c r="B111" t="str">
        <f t="shared" si="18"/>
        <v>vi</v>
      </c>
      <c r="C111" s="18">
        <f t="shared" si="25"/>
        <v>1</v>
      </c>
      <c r="D111" t="s">
        <v>1498</v>
      </c>
      <c r="E111" s="14">
        <f t="shared" si="19"/>
        <v>46122</v>
      </c>
      <c r="F111" t="str">
        <f t="shared" si="20"/>
        <v>pascua_s1_vi</v>
      </c>
      <c r="G111" s="15" t="str">
        <f t="shared" si="21"/>
        <v>"10/04/2026": "pascua_s1_vi",</v>
      </c>
      <c r="H111" t="str">
        <f t="shared" si="22"/>
        <v/>
      </c>
    </row>
    <row r="112" spans="1:8">
      <c r="A112">
        <f t="shared" si="17"/>
        <v>2026</v>
      </c>
      <c r="B112" t="str">
        <f t="shared" si="18"/>
        <v>sa</v>
      </c>
      <c r="C112" s="18">
        <f t="shared" si="25"/>
        <v>1</v>
      </c>
      <c r="D112" t="s">
        <v>1498</v>
      </c>
      <c r="E112" s="14">
        <f t="shared" si="19"/>
        <v>46123</v>
      </c>
      <c r="F112" t="str">
        <f t="shared" si="20"/>
        <v>pascua_s1_sa</v>
      </c>
      <c r="G112" s="15" t="str">
        <f t="shared" si="21"/>
        <v>"11/04/2026": "pascua_s1_sa",</v>
      </c>
      <c r="H112" t="str">
        <f t="shared" si="22"/>
        <v/>
      </c>
    </row>
    <row r="113" spans="1:8">
      <c r="A113">
        <f t="shared" si="17"/>
        <v>2026</v>
      </c>
      <c r="B113" t="str">
        <f t="shared" si="18"/>
        <v>do</v>
      </c>
      <c r="C113" s="18">
        <f>C112+1</f>
        <v>2</v>
      </c>
      <c r="D113" t="s">
        <v>1498</v>
      </c>
      <c r="E113" s="14">
        <f t="shared" si="19"/>
        <v>46124</v>
      </c>
      <c r="F113" t="str">
        <f t="shared" si="20"/>
        <v>pascua_s2_do</v>
      </c>
      <c r="G113" s="15" t="str">
        <f t="shared" si="21"/>
        <v>"12/04/2026": "pascua_s2_do",</v>
      </c>
      <c r="H113" t="str">
        <f t="shared" si="22"/>
        <v>// TIEMPO PASCUA SEMANA 2</v>
      </c>
    </row>
    <row r="114" spans="1:8">
      <c r="A114">
        <f t="shared" si="17"/>
        <v>2026</v>
      </c>
      <c r="B114" t="str">
        <f t="shared" si="18"/>
        <v>lu</v>
      </c>
      <c r="C114" s="18">
        <f t="shared" ref="C88:C133" si="26">+C113</f>
        <v>2</v>
      </c>
      <c r="D114" t="s">
        <v>1498</v>
      </c>
      <c r="E114" s="14">
        <f t="shared" si="19"/>
        <v>46125</v>
      </c>
      <c r="F114" t="str">
        <f t="shared" si="20"/>
        <v>pascua_s2_lu</v>
      </c>
      <c r="G114" s="15" t="str">
        <f t="shared" si="21"/>
        <v>"13/04/2026": "pascua_s2_lu",</v>
      </c>
      <c r="H114" t="str">
        <f t="shared" si="22"/>
        <v/>
      </c>
    </row>
    <row r="115" spans="1:8">
      <c r="A115">
        <f t="shared" si="17"/>
        <v>2026</v>
      </c>
      <c r="B115" t="str">
        <f t="shared" si="18"/>
        <v>ma</v>
      </c>
      <c r="C115" s="18">
        <f t="shared" si="26"/>
        <v>2</v>
      </c>
      <c r="D115" t="s">
        <v>1498</v>
      </c>
      <c r="E115" s="14">
        <f t="shared" si="19"/>
        <v>46126</v>
      </c>
      <c r="F115" t="str">
        <f t="shared" si="20"/>
        <v>pascua_s2_ma</v>
      </c>
      <c r="G115" s="15" t="str">
        <f t="shared" si="21"/>
        <v>"14/04/2026": "pascua_s2_ma",</v>
      </c>
      <c r="H115" t="str">
        <f t="shared" si="22"/>
        <v/>
      </c>
    </row>
    <row r="116" spans="1:8">
      <c r="A116">
        <f t="shared" si="17"/>
        <v>2026</v>
      </c>
      <c r="B116" t="str">
        <f t="shared" si="18"/>
        <v>mi</v>
      </c>
      <c r="C116" s="18">
        <f t="shared" si="26"/>
        <v>2</v>
      </c>
      <c r="D116" t="s">
        <v>1498</v>
      </c>
      <c r="E116" s="14">
        <f t="shared" si="19"/>
        <v>46127</v>
      </c>
      <c r="F116" t="str">
        <f t="shared" si="20"/>
        <v>pascua_s2_mi</v>
      </c>
      <c r="G116" s="15" t="str">
        <f t="shared" si="21"/>
        <v>"15/04/2026": "pascua_s2_mi",</v>
      </c>
      <c r="H116" t="str">
        <f t="shared" si="22"/>
        <v/>
      </c>
    </row>
    <row r="117" spans="1:8">
      <c r="A117">
        <f t="shared" si="17"/>
        <v>2026</v>
      </c>
      <c r="B117" t="str">
        <f t="shared" si="18"/>
        <v>ju</v>
      </c>
      <c r="C117" s="18">
        <f t="shared" si="26"/>
        <v>2</v>
      </c>
      <c r="D117" t="s">
        <v>1498</v>
      </c>
      <c r="E117" s="14">
        <f t="shared" si="19"/>
        <v>46128</v>
      </c>
      <c r="F117" t="str">
        <f t="shared" si="20"/>
        <v>pascua_s2_ju</v>
      </c>
      <c r="G117" s="15" t="str">
        <f t="shared" si="21"/>
        <v>"16/04/2026": "pascua_s2_ju",</v>
      </c>
      <c r="H117" t="str">
        <f t="shared" si="22"/>
        <v/>
      </c>
    </row>
    <row r="118" spans="1:8">
      <c r="A118">
        <f t="shared" si="17"/>
        <v>2026</v>
      </c>
      <c r="B118" t="str">
        <f t="shared" si="18"/>
        <v>vi</v>
      </c>
      <c r="C118" s="18">
        <f t="shared" si="26"/>
        <v>2</v>
      </c>
      <c r="D118" t="s">
        <v>1498</v>
      </c>
      <c r="E118" s="14">
        <f t="shared" si="19"/>
        <v>46129</v>
      </c>
      <c r="F118" t="str">
        <f t="shared" si="20"/>
        <v>pascua_s2_vi</v>
      </c>
      <c r="G118" s="15" t="str">
        <f t="shared" si="21"/>
        <v>"17/04/2026": "pascua_s2_vi",</v>
      </c>
      <c r="H118" t="str">
        <f t="shared" si="22"/>
        <v/>
      </c>
    </row>
    <row r="119" spans="1:8">
      <c r="A119">
        <f t="shared" si="17"/>
        <v>2026</v>
      </c>
      <c r="B119" t="str">
        <f t="shared" si="18"/>
        <v>sa</v>
      </c>
      <c r="C119" s="18">
        <f t="shared" si="26"/>
        <v>2</v>
      </c>
      <c r="D119" t="s">
        <v>1498</v>
      </c>
      <c r="E119" s="14">
        <f t="shared" si="19"/>
        <v>46130</v>
      </c>
      <c r="F119" t="str">
        <f t="shared" si="20"/>
        <v>pascua_s2_sa</v>
      </c>
      <c r="G119" s="15" t="str">
        <f t="shared" si="21"/>
        <v>"18/04/2026": "pascua_s2_sa",</v>
      </c>
      <c r="H119" t="str">
        <f t="shared" si="22"/>
        <v/>
      </c>
    </row>
    <row r="120" spans="1:8">
      <c r="A120">
        <f t="shared" si="17"/>
        <v>2026</v>
      </c>
      <c r="B120" t="str">
        <f t="shared" si="18"/>
        <v>do</v>
      </c>
      <c r="C120" s="18">
        <f>C119+1</f>
        <v>3</v>
      </c>
      <c r="D120" t="s">
        <v>1498</v>
      </c>
      <c r="E120" s="14">
        <f t="shared" si="19"/>
        <v>46131</v>
      </c>
      <c r="F120" t="str">
        <f t="shared" si="20"/>
        <v>pascua_s3_do</v>
      </c>
      <c r="G120" s="15" t="str">
        <f t="shared" si="21"/>
        <v>"19/04/2026": "pascua_s3_do",</v>
      </c>
      <c r="H120" t="str">
        <f t="shared" si="22"/>
        <v>// TIEMPO PASCUA SEMANA 3</v>
      </c>
    </row>
    <row r="121" spans="1:8">
      <c r="A121">
        <f t="shared" si="17"/>
        <v>2026</v>
      </c>
      <c r="B121" t="str">
        <f t="shared" si="18"/>
        <v>lu</v>
      </c>
      <c r="C121" s="18">
        <f t="shared" si="26"/>
        <v>3</v>
      </c>
      <c r="D121" t="s">
        <v>1498</v>
      </c>
      <c r="E121" s="14">
        <f t="shared" si="19"/>
        <v>46132</v>
      </c>
      <c r="F121" t="str">
        <f t="shared" si="20"/>
        <v>pascua_s3_lu</v>
      </c>
      <c r="G121" s="15" t="str">
        <f t="shared" si="21"/>
        <v>"20/04/2026": "pascua_s3_lu",</v>
      </c>
      <c r="H121" t="str">
        <f t="shared" si="22"/>
        <v/>
      </c>
    </row>
    <row r="122" spans="1:8">
      <c r="A122">
        <f t="shared" si="17"/>
        <v>2026</v>
      </c>
      <c r="B122" t="str">
        <f t="shared" si="18"/>
        <v>ma</v>
      </c>
      <c r="C122" s="18">
        <f t="shared" si="26"/>
        <v>3</v>
      </c>
      <c r="D122" t="s">
        <v>1498</v>
      </c>
      <c r="E122" s="14">
        <f t="shared" si="19"/>
        <v>46133</v>
      </c>
      <c r="F122" t="str">
        <f t="shared" si="20"/>
        <v>pascua_s3_ma</v>
      </c>
      <c r="G122" s="15" t="str">
        <f t="shared" si="21"/>
        <v>"21/04/2026": "pascua_s3_ma",</v>
      </c>
      <c r="H122" t="str">
        <f t="shared" si="22"/>
        <v/>
      </c>
    </row>
    <row r="123" spans="1:8">
      <c r="A123">
        <f t="shared" si="17"/>
        <v>2026</v>
      </c>
      <c r="B123" t="str">
        <f t="shared" si="18"/>
        <v>mi</v>
      </c>
      <c r="C123" s="18">
        <f t="shared" si="26"/>
        <v>3</v>
      </c>
      <c r="D123" t="s">
        <v>1498</v>
      </c>
      <c r="E123" s="14">
        <f t="shared" si="19"/>
        <v>46134</v>
      </c>
      <c r="F123" t="str">
        <f t="shared" si="20"/>
        <v>pascua_s3_mi</v>
      </c>
      <c r="G123" s="15" t="str">
        <f t="shared" si="21"/>
        <v>"22/04/2026": "pascua_s3_mi",</v>
      </c>
      <c r="H123" t="str">
        <f t="shared" si="22"/>
        <v/>
      </c>
    </row>
    <row r="124" spans="1:8">
      <c r="A124">
        <f t="shared" si="17"/>
        <v>2026</v>
      </c>
      <c r="B124" t="str">
        <f t="shared" si="18"/>
        <v>ju</v>
      </c>
      <c r="C124" s="18">
        <f t="shared" si="26"/>
        <v>3</v>
      </c>
      <c r="D124" t="s">
        <v>1498</v>
      </c>
      <c r="E124" s="14">
        <f t="shared" si="19"/>
        <v>46135</v>
      </c>
      <c r="F124" t="str">
        <f t="shared" si="20"/>
        <v>pascua_s3_ju</v>
      </c>
      <c r="G124" s="15" t="str">
        <f t="shared" si="21"/>
        <v>"23/04/2026": "pascua_s3_ju",</v>
      </c>
      <c r="H124" t="str">
        <f t="shared" si="22"/>
        <v/>
      </c>
    </row>
    <row r="125" spans="1:8">
      <c r="A125">
        <f t="shared" si="17"/>
        <v>2026</v>
      </c>
      <c r="B125" t="str">
        <f t="shared" si="18"/>
        <v>vi</v>
      </c>
      <c r="C125" s="18">
        <f t="shared" si="26"/>
        <v>3</v>
      </c>
      <c r="D125" t="s">
        <v>1498</v>
      </c>
      <c r="E125" s="14">
        <f t="shared" si="19"/>
        <v>46136</v>
      </c>
      <c r="F125" t="str">
        <f t="shared" si="20"/>
        <v>pascua_s3_vi</v>
      </c>
      <c r="G125" s="15" t="str">
        <f t="shared" si="21"/>
        <v>"24/04/2026": "pascua_s3_vi",</v>
      </c>
      <c r="H125" t="str">
        <f t="shared" si="22"/>
        <v/>
      </c>
    </row>
    <row r="126" spans="1:8">
      <c r="A126">
        <f t="shared" si="17"/>
        <v>2026</v>
      </c>
      <c r="B126" t="str">
        <f t="shared" si="18"/>
        <v>sa</v>
      </c>
      <c r="C126" s="18">
        <f t="shared" si="26"/>
        <v>3</v>
      </c>
      <c r="D126" t="s">
        <v>1498</v>
      </c>
      <c r="E126" s="14">
        <f t="shared" si="19"/>
        <v>46137</v>
      </c>
      <c r="F126" t="str">
        <f t="shared" si="20"/>
        <v>pascua_s3_sa</v>
      </c>
      <c r="G126" s="15" t="str">
        <f t="shared" si="21"/>
        <v>"25/04/2026": "pascua_s3_sa",</v>
      </c>
      <c r="H126" t="str">
        <f t="shared" si="22"/>
        <v/>
      </c>
    </row>
    <row r="127" spans="1:8">
      <c r="A127">
        <f t="shared" si="17"/>
        <v>2026</v>
      </c>
      <c r="B127" t="str">
        <f t="shared" si="18"/>
        <v>do</v>
      </c>
      <c r="C127" s="18">
        <f>C126+1</f>
        <v>4</v>
      </c>
      <c r="D127" t="s">
        <v>1498</v>
      </c>
      <c r="E127" s="14">
        <f t="shared" si="19"/>
        <v>46138</v>
      </c>
      <c r="F127" t="str">
        <f t="shared" si="20"/>
        <v>pascua_s4_do</v>
      </c>
      <c r="G127" s="15" t="str">
        <f t="shared" si="21"/>
        <v>"26/04/2026": "pascua_s4_do",</v>
      </c>
      <c r="H127" t="str">
        <f t="shared" si="22"/>
        <v>// TIEMPO PASCUA SEMANA 4</v>
      </c>
    </row>
    <row r="128" spans="1:8">
      <c r="A128">
        <f t="shared" si="17"/>
        <v>2026</v>
      </c>
      <c r="B128" t="str">
        <f t="shared" si="18"/>
        <v>lu</v>
      </c>
      <c r="C128" s="18">
        <f t="shared" si="26"/>
        <v>4</v>
      </c>
      <c r="D128" t="s">
        <v>1498</v>
      </c>
      <c r="E128" s="14">
        <f t="shared" si="19"/>
        <v>46139</v>
      </c>
      <c r="F128" t="str">
        <f t="shared" si="20"/>
        <v>pascua_s4_lu</v>
      </c>
      <c r="G128" s="15" t="str">
        <f t="shared" si="21"/>
        <v>"27/04/2026": "pascua_s4_lu",</v>
      </c>
      <c r="H128" t="str">
        <f t="shared" si="22"/>
        <v/>
      </c>
    </row>
    <row r="129" spans="1:8">
      <c r="A129">
        <f t="shared" si="17"/>
        <v>2026</v>
      </c>
      <c r="B129" t="str">
        <f t="shared" si="18"/>
        <v>ma</v>
      </c>
      <c r="C129" s="18">
        <f t="shared" si="26"/>
        <v>4</v>
      </c>
      <c r="D129" t="s">
        <v>1498</v>
      </c>
      <c r="E129" s="14">
        <f t="shared" si="19"/>
        <v>46140</v>
      </c>
      <c r="F129" t="str">
        <f t="shared" si="20"/>
        <v>pascua_s4_ma</v>
      </c>
      <c r="G129" s="15" t="str">
        <f t="shared" si="21"/>
        <v>"28/04/2026": "pascua_s4_ma",</v>
      </c>
      <c r="H129" t="str">
        <f t="shared" si="22"/>
        <v/>
      </c>
    </row>
    <row r="130" spans="1:8">
      <c r="A130">
        <f t="shared" si="17"/>
        <v>2026</v>
      </c>
      <c r="B130" t="str">
        <f t="shared" si="18"/>
        <v>mi</v>
      </c>
      <c r="C130" s="18">
        <f t="shared" si="26"/>
        <v>4</v>
      </c>
      <c r="D130" t="s">
        <v>1498</v>
      </c>
      <c r="E130" s="14">
        <f t="shared" si="19"/>
        <v>46141</v>
      </c>
      <c r="F130" t="str">
        <f t="shared" si="20"/>
        <v>pascua_s4_mi</v>
      </c>
      <c r="G130" s="15" t="str">
        <f t="shared" si="21"/>
        <v>"29/04/2026": "pascua_s4_mi",</v>
      </c>
      <c r="H130" t="str">
        <f t="shared" si="22"/>
        <v/>
      </c>
    </row>
    <row r="131" spans="1:8">
      <c r="A131">
        <f t="shared" si="17"/>
        <v>2026</v>
      </c>
      <c r="B131" t="str">
        <f t="shared" si="18"/>
        <v>ju</v>
      </c>
      <c r="C131" s="18">
        <f t="shared" si="26"/>
        <v>4</v>
      </c>
      <c r="D131" t="s">
        <v>1498</v>
      </c>
      <c r="E131" s="14">
        <f t="shared" si="19"/>
        <v>46142</v>
      </c>
      <c r="F131" t="str">
        <f t="shared" si="20"/>
        <v>pascua_s4_ju</v>
      </c>
      <c r="G131" s="15" t="str">
        <f t="shared" si="21"/>
        <v>"30/04/2026": "pascua_s4_ju",</v>
      </c>
      <c r="H131" t="str">
        <f t="shared" si="22"/>
        <v/>
      </c>
    </row>
    <row r="132" spans="1:8">
      <c r="A132">
        <f t="shared" si="17"/>
        <v>2026</v>
      </c>
      <c r="B132" t="str">
        <f t="shared" si="18"/>
        <v>vi</v>
      </c>
      <c r="C132" s="18">
        <f t="shared" si="26"/>
        <v>4</v>
      </c>
      <c r="D132" t="s">
        <v>1498</v>
      </c>
      <c r="E132" s="14">
        <f t="shared" si="19"/>
        <v>46143</v>
      </c>
      <c r="F132" t="str">
        <f t="shared" si="20"/>
        <v>pascua_s4_vi</v>
      </c>
      <c r="G132" s="15" t="str">
        <f t="shared" si="21"/>
        <v>"01/05/2026": "pascua_s4_vi",</v>
      </c>
      <c r="H132" t="str">
        <f t="shared" si="22"/>
        <v/>
      </c>
    </row>
    <row r="133" spans="1:8">
      <c r="A133">
        <f t="shared" si="17"/>
        <v>2026</v>
      </c>
      <c r="B133" t="str">
        <f t="shared" si="18"/>
        <v>sa</v>
      </c>
      <c r="C133" s="18">
        <f t="shared" si="26"/>
        <v>4</v>
      </c>
      <c r="D133" t="s">
        <v>1498</v>
      </c>
      <c r="E133" s="14">
        <f t="shared" si="19"/>
        <v>46144</v>
      </c>
      <c r="F133" t="str">
        <f t="shared" si="20"/>
        <v>pascua_s4_sa</v>
      </c>
      <c r="G133" s="15" t="str">
        <f t="shared" si="21"/>
        <v>"02/05/2026": "pascua_s4_sa",</v>
      </c>
      <c r="H133" t="str">
        <f t="shared" si="22"/>
        <v/>
      </c>
    </row>
    <row r="134" spans="1:8">
      <c r="A134">
        <f t="shared" si="17"/>
        <v>2026</v>
      </c>
      <c r="B134" t="str">
        <f t="shared" si="18"/>
        <v>do</v>
      </c>
      <c r="C134" s="18">
        <f>C133+1</f>
        <v>5</v>
      </c>
      <c r="D134" t="s">
        <v>1498</v>
      </c>
      <c r="E134" s="14">
        <f t="shared" si="19"/>
        <v>46145</v>
      </c>
      <c r="F134" t="str">
        <f t="shared" si="20"/>
        <v>pascua_s5_do</v>
      </c>
      <c r="G134" s="15" t="str">
        <f t="shared" si="21"/>
        <v>"03/05/2026": "pascua_s5_do",</v>
      </c>
      <c r="H134" t="str">
        <f t="shared" si="22"/>
        <v>// TIEMPO PASCUA SEMANA 5</v>
      </c>
    </row>
    <row r="135" spans="1:8">
      <c r="A135">
        <f t="shared" si="17"/>
        <v>2026</v>
      </c>
      <c r="B135" t="str">
        <f t="shared" si="18"/>
        <v>lu</v>
      </c>
      <c r="C135" s="18">
        <f t="shared" ref="C135:C140" si="27">+C134</f>
        <v>5</v>
      </c>
      <c r="D135" t="s">
        <v>1498</v>
      </c>
      <c r="E135" s="14">
        <f t="shared" si="19"/>
        <v>46146</v>
      </c>
      <c r="F135" t="str">
        <f t="shared" si="20"/>
        <v>pascua_s5_lu</v>
      </c>
      <c r="G135" s="15" t="str">
        <f t="shared" si="21"/>
        <v>"04/05/2026": "pascua_s5_lu",</v>
      </c>
      <c r="H135" t="str">
        <f t="shared" si="22"/>
        <v/>
      </c>
    </row>
    <row r="136" spans="1:8">
      <c r="A136">
        <f t="shared" si="17"/>
        <v>2026</v>
      </c>
      <c r="B136" t="str">
        <f t="shared" si="18"/>
        <v>ma</v>
      </c>
      <c r="C136" s="18">
        <f t="shared" si="27"/>
        <v>5</v>
      </c>
      <c r="D136" t="s">
        <v>1498</v>
      </c>
      <c r="E136" s="14">
        <f t="shared" ref="E136:E140" si="28">+E137-1</f>
        <v>46147</v>
      </c>
      <c r="F136" t="str">
        <f t="shared" si="20"/>
        <v>pascua_s5_ma</v>
      </c>
      <c r="G136" s="15" t="str">
        <f t="shared" ref="G136:G199" si="29">"""" &amp; TEXT(E136, "dd/mm/yyyy") &amp; """: """ &amp; F136 &amp; ""","</f>
        <v>"05/05/2026": "pascua_s5_ma",</v>
      </c>
      <c r="H136" t="str">
        <f t="shared" si="22"/>
        <v/>
      </c>
    </row>
    <row r="137" spans="1:8">
      <c r="A137">
        <f t="shared" si="17"/>
        <v>2026</v>
      </c>
      <c r="B137" t="str">
        <f t="shared" si="18"/>
        <v>mi</v>
      </c>
      <c r="C137" s="18">
        <f t="shared" si="27"/>
        <v>5</v>
      </c>
      <c r="D137" t="s">
        <v>1498</v>
      </c>
      <c r="E137" s="14">
        <f t="shared" si="28"/>
        <v>46148</v>
      </c>
      <c r="F137" t="str">
        <f t="shared" si="20"/>
        <v>pascua_s5_mi</v>
      </c>
      <c r="G137" s="15" t="str">
        <f t="shared" si="29"/>
        <v>"06/05/2026": "pascua_s5_mi",</v>
      </c>
      <c r="H137" t="str">
        <f t="shared" si="22"/>
        <v/>
      </c>
    </row>
    <row r="138" spans="1:8">
      <c r="A138">
        <f t="shared" si="17"/>
        <v>2026</v>
      </c>
      <c r="B138" t="str">
        <f t="shared" si="18"/>
        <v>ju</v>
      </c>
      <c r="C138" s="18">
        <f t="shared" si="27"/>
        <v>5</v>
      </c>
      <c r="D138" t="s">
        <v>1498</v>
      </c>
      <c r="E138" s="14">
        <f t="shared" si="28"/>
        <v>46149</v>
      </c>
      <c r="F138" t="str">
        <f t="shared" si="20"/>
        <v>pascua_s5_ju</v>
      </c>
      <c r="G138" s="15" t="str">
        <f t="shared" si="29"/>
        <v>"07/05/2026": "pascua_s5_ju",</v>
      </c>
      <c r="H138" t="str">
        <f t="shared" si="22"/>
        <v/>
      </c>
    </row>
    <row r="139" spans="1:8">
      <c r="A139">
        <f t="shared" si="17"/>
        <v>2026</v>
      </c>
      <c r="B139" t="str">
        <f t="shared" si="18"/>
        <v>vi</v>
      </c>
      <c r="C139" s="18">
        <f t="shared" si="27"/>
        <v>5</v>
      </c>
      <c r="D139" t="s">
        <v>1498</v>
      </c>
      <c r="E139" s="14">
        <f t="shared" si="28"/>
        <v>46150</v>
      </c>
      <c r="F139" t="str">
        <f t="shared" si="20"/>
        <v>pascua_s5_vi</v>
      </c>
      <c r="G139" s="15" t="str">
        <f t="shared" si="29"/>
        <v>"08/05/2026": "pascua_s5_vi",</v>
      </c>
      <c r="H139" t="str">
        <f t="shared" si="22"/>
        <v/>
      </c>
    </row>
    <row r="140" spans="1:8">
      <c r="A140">
        <f t="shared" si="17"/>
        <v>2026</v>
      </c>
      <c r="B140" t="str">
        <f t="shared" si="18"/>
        <v>sa</v>
      </c>
      <c r="C140" s="18">
        <f t="shared" si="27"/>
        <v>5</v>
      </c>
      <c r="D140" t="s">
        <v>1498</v>
      </c>
      <c r="E140" s="14">
        <f>+E141-1</f>
        <v>46151</v>
      </c>
      <c r="F140" t="str">
        <f t="shared" si="20"/>
        <v>pascua_s5_sa</v>
      </c>
      <c r="G140" s="15" t="str">
        <f t="shared" si="29"/>
        <v>"09/05/2026": "pascua_s5_sa",</v>
      </c>
      <c r="H140" t="str">
        <f t="shared" si="22"/>
        <v/>
      </c>
    </row>
    <row r="141" spans="1:8">
      <c r="A141">
        <f t="shared" ref="A141:A172" si="30">YEAR(E141)</f>
        <v>2026</v>
      </c>
      <c r="B141" t="str">
        <f t="shared" ref="B141:B172" si="31">CHOOSE(WEEKDAY(E141), "do", "lu", "ma", "mi", "ju", "vi", "sa")</f>
        <v>do</v>
      </c>
      <c r="C141" s="18">
        <f>C140+1</f>
        <v>6</v>
      </c>
      <c r="D141" t="s">
        <v>1498</v>
      </c>
      <c r="E141" s="14">
        <f t="shared" ref="E141:E204" si="32">+E142-1</f>
        <v>46152</v>
      </c>
      <c r="F141" t="str">
        <f t="shared" ref="F141:F172" si="33">_xlfn.CONCAT(D141,"_s",C141,"_",B141)</f>
        <v>pascua_s6_do</v>
      </c>
      <c r="G141" s="15" t="str">
        <f t="shared" ref="G141:G172" si="34">"""" &amp; TEXT(E141, "dd/mm/yyyy") &amp; """: """ &amp; F141 &amp; ""","</f>
        <v>"10/05/2026": "pascua_s6_do",</v>
      </c>
      <c r="H141" t="str">
        <f t="shared" ref="H141:H172" si="35">IF(B141="do", "// TIEMPO " &amp; UPPER(D141) &amp; " SEMANA " &amp; C141, "")</f>
        <v>// TIEMPO PASCUA SEMANA 6</v>
      </c>
    </row>
    <row r="142" spans="1:8">
      <c r="A142">
        <f t="shared" si="30"/>
        <v>2026</v>
      </c>
      <c r="B142" t="str">
        <f t="shared" si="31"/>
        <v>lu</v>
      </c>
      <c r="C142" s="18">
        <f t="shared" ref="C142:C148" si="36">+C141</f>
        <v>6</v>
      </c>
      <c r="D142" t="s">
        <v>1498</v>
      </c>
      <c r="E142" s="14">
        <f t="shared" si="32"/>
        <v>46153</v>
      </c>
      <c r="F142" t="str">
        <f t="shared" si="33"/>
        <v>pascua_s6_lu</v>
      </c>
      <c r="G142" s="15" t="str">
        <f t="shared" si="34"/>
        <v>"11/05/2026": "pascua_s6_lu",</v>
      </c>
      <c r="H142" t="str">
        <f t="shared" si="35"/>
        <v/>
      </c>
    </row>
    <row r="143" spans="1:8">
      <c r="A143">
        <f t="shared" si="30"/>
        <v>2026</v>
      </c>
      <c r="B143" t="str">
        <f t="shared" si="31"/>
        <v>ma</v>
      </c>
      <c r="C143" s="18">
        <f t="shared" si="36"/>
        <v>6</v>
      </c>
      <c r="D143" t="s">
        <v>1498</v>
      </c>
      <c r="E143" s="14">
        <f t="shared" si="32"/>
        <v>46154</v>
      </c>
      <c r="F143" t="str">
        <f t="shared" si="33"/>
        <v>pascua_s6_ma</v>
      </c>
      <c r="G143" s="15" t="str">
        <f t="shared" si="34"/>
        <v>"12/05/2026": "pascua_s6_ma",</v>
      </c>
      <c r="H143" t="str">
        <f t="shared" si="35"/>
        <v/>
      </c>
    </row>
    <row r="144" spans="1:8">
      <c r="A144">
        <f t="shared" si="30"/>
        <v>2026</v>
      </c>
      <c r="B144" t="str">
        <f t="shared" si="31"/>
        <v>mi</v>
      </c>
      <c r="C144" s="18">
        <f t="shared" si="36"/>
        <v>6</v>
      </c>
      <c r="D144" t="s">
        <v>1498</v>
      </c>
      <c r="E144" s="14">
        <f t="shared" si="32"/>
        <v>46155</v>
      </c>
      <c r="F144" t="str">
        <f t="shared" si="33"/>
        <v>pascua_s6_mi</v>
      </c>
      <c r="G144" s="15" t="str">
        <f t="shared" si="34"/>
        <v>"13/05/2026": "pascua_s6_mi",</v>
      </c>
      <c r="H144" t="str">
        <f t="shared" si="35"/>
        <v/>
      </c>
    </row>
    <row r="145" spans="1:9">
      <c r="A145">
        <f t="shared" si="30"/>
        <v>2026</v>
      </c>
      <c r="B145" t="str">
        <f t="shared" si="31"/>
        <v>ju</v>
      </c>
      <c r="C145" s="18">
        <f t="shared" si="36"/>
        <v>6</v>
      </c>
      <c r="D145" t="s">
        <v>1498</v>
      </c>
      <c r="E145" s="14">
        <f t="shared" si="32"/>
        <v>46156</v>
      </c>
      <c r="F145" t="str">
        <f t="shared" si="33"/>
        <v>pascua_s6_ju</v>
      </c>
      <c r="G145" s="15" t="str">
        <f t="shared" si="34"/>
        <v>"14/05/2026": "pascua_s6_ju",</v>
      </c>
      <c r="H145" t="str">
        <f t="shared" si="35"/>
        <v/>
      </c>
    </row>
    <row r="146" spans="1:9">
      <c r="A146">
        <f t="shared" si="30"/>
        <v>2026</v>
      </c>
      <c r="B146" t="str">
        <f t="shared" si="31"/>
        <v>vi</v>
      </c>
      <c r="C146" s="18">
        <f t="shared" si="36"/>
        <v>6</v>
      </c>
      <c r="D146" t="s">
        <v>1498</v>
      </c>
      <c r="E146" s="14">
        <f t="shared" si="32"/>
        <v>46157</v>
      </c>
      <c r="F146" t="str">
        <f t="shared" si="33"/>
        <v>pascua_s6_vi</v>
      </c>
      <c r="G146" s="15" t="str">
        <f t="shared" si="34"/>
        <v>"15/05/2026": "pascua_s6_vi",</v>
      </c>
      <c r="H146" t="str">
        <f t="shared" si="35"/>
        <v/>
      </c>
    </row>
    <row r="147" spans="1:9">
      <c r="A147">
        <f t="shared" si="30"/>
        <v>2026</v>
      </c>
      <c r="B147" t="str">
        <f t="shared" si="31"/>
        <v>sa</v>
      </c>
      <c r="C147" s="18">
        <f t="shared" si="36"/>
        <v>6</v>
      </c>
      <c r="D147" t="s">
        <v>1498</v>
      </c>
      <c r="E147" s="14">
        <f t="shared" si="32"/>
        <v>46158</v>
      </c>
      <c r="F147" t="str">
        <f t="shared" si="33"/>
        <v>pascua_s6_sa</v>
      </c>
      <c r="G147" s="15" t="str">
        <f t="shared" si="34"/>
        <v>"16/05/2026": "pascua_s6_sa",</v>
      </c>
      <c r="H147" t="str">
        <f t="shared" si="35"/>
        <v/>
      </c>
    </row>
    <row r="148" spans="1:9">
      <c r="A148">
        <f t="shared" si="30"/>
        <v>2026</v>
      </c>
      <c r="B148" t="str">
        <f t="shared" si="31"/>
        <v>do</v>
      </c>
      <c r="C148" s="18">
        <f>C147+1</f>
        <v>7</v>
      </c>
      <c r="D148" t="s">
        <v>1498</v>
      </c>
      <c r="E148" s="14">
        <f t="shared" si="32"/>
        <v>46159</v>
      </c>
      <c r="F148" t="str">
        <f t="shared" si="33"/>
        <v>pascua_s7_do</v>
      </c>
      <c r="G148" s="15" t="str">
        <f t="shared" si="34"/>
        <v>"17/05/2026": "pascua_s7_do",</v>
      </c>
      <c r="H148" t="str">
        <f t="shared" si="35"/>
        <v>// TIEMPO PASCUA SEMANA 7</v>
      </c>
      <c r="I148" t="s">
        <v>1531</v>
      </c>
    </row>
    <row r="149" spans="1:9">
      <c r="A149">
        <f t="shared" si="30"/>
        <v>2026</v>
      </c>
      <c r="B149" t="str">
        <f t="shared" si="31"/>
        <v>lu</v>
      </c>
      <c r="C149" s="18">
        <f t="shared" ref="C149:C155" si="37">+C148</f>
        <v>7</v>
      </c>
      <c r="D149" t="s">
        <v>1498</v>
      </c>
      <c r="E149" s="14">
        <f t="shared" si="32"/>
        <v>46160</v>
      </c>
      <c r="F149" t="str">
        <f t="shared" si="33"/>
        <v>pascua_s7_lu</v>
      </c>
      <c r="G149" s="15" t="str">
        <f t="shared" si="34"/>
        <v>"18/05/2026": "pascua_s7_lu",</v>
      </c>
      <c r="H149" t="str">
        <f t="shared" si="35"/>
        <v/>
      </c>
    </row>
    <row r="150" spans="1:9">
      <c r="A150">
        <f t="shared" si="30"/>
        <v>2026</v>
      </c>
      <c r="B150" t="str">
        <f t="shared" si="31"/>
        <v>ma</v>
      </c>
      <c r="C150" s="18">
        <f t="shared" si="37"/>
        <v>7</v>
      </c>
      <c r="D150" t="s">
        <v>1498</v>
      </c>
      <c r="E150" s="14">
        <f t="shared" si="32"/>
        <v>46161</v>
      </c>
      <c r="F150" t="str">
        <f t="shared" si="33"/>
        <v>pascua_s7_ma</v>
      </c>
      <c r="G150" s="15" t="str">
        <f t="shared" si="34"/>
        <v>"19/05/2026": "pascua_s7_ma",</v>
      </c>
      <c r="H150" t="str">
        <f t="shared" si="35"/>
        <v/>
      </c>
    </row>
    <row r="151" spans="1:9">
      <c r="A151">
        <f t="shared" si="30"/>
        <v>2026</v>
      </c>
      <c r="B151" t="str">
        <f t="shared" si="31"/>
        <v>mi</v>
      </c>
      <c r="C151" s="18">
        <f t="shared" si="37"/>
        <v>7</v>
      </c>
      <c r="D151" t="s">
        <v>1498</v>
      </c>
      <c r="E151" s="14">
        <f t="shared" si="32"/>
        <v>46162</v>
      </c>
      <c r="F151" t="str">
        <f t="shared" si="33"/>
        <v>pascua_s7_mi</v>
      </c>
      <c r="G151" s="15" t="str">
        <f t="shared" si="34"/>
        <v>"20/05/2026": "pascua_s7_mi",</v>
      </c>
      <c r="H151" t="str">
        <f t="shared" si="35"/>
        <v/>
      </c>
    </row>
    <row r="152" spans="1:9">
      <c r="A152">
        <f t="shared" si="30"/>
        <v>2026</v>
      </c>
      <c r="B152" t="str">
        <f t="shared" si="31"/>
        <v>ju</v>
      </c>
      <c r="C152" s="18">
        <f t="shared" si="37"/>
        <v>7</v>
      </c>
      <c r="D152" t="s">
        <v>1498</v>
      </c>
      <c r="E152" s="14">
        <f t="shared" si="32"/>
        <v>46163</v>
      </c>
      <c r="F152" t="str">
        <f t="shared" si="33"/>
        <v>pascua_s7_ju</v>
      </c>
      <c r="G152" s="15" t="str">
        <f t="shared" si="34"/>
        <v>"21/05/2026": "pascua_s7_ju",</v>
      </c>
      <c r="H152" t="str">
        <f t="shared" si="35"/>
        <v/>
      </c>
    </row>
    <row r="153" spans="1:9">
      <c r="A153">
        <f t="shared" si="30"/>
        <v>2026</v>
      </c>
      <c r="B153" t="str">
        <f t="shared" si="31"/>
        <v>vi</v>
      </c>
      <c r="C153" s="18">
        <f t="shared" si="37"/>
        <v>7</v>
      </c>
      <c r="D153" t="s">
        <v>1498</v>
      </c>
      <c r="E153" s="14">
        <f t="shared" si="32"/>
        <v>46164</v>
      </c>
      <c r="F153" t="str">
        <f t="shared" si="33"/>
        <v>pascua_s7_vi</v>
      </c>
      <c r="G153" s="15" t="str">
        <f t="shared" si="34"/>
        <v>"22/05/2026": "pascua_s7_vi",</v>
      </c>
      <c r="H153" t="str">
        <f t="shared" si="35"/>
        <v/>
      </c>
    </row>
    <row r="154" spans="1:9">
      <c r="A154">
        <f t="shared" si="30"/>
        <v>2026</v>
      </c>
      <c r="B154" t="str">
        <f t="shared" si="31"/>
        <v>sa</v>
      </c>
      <c r="C154" s="18">
        <f t="shared" si="37"/>
        <v>7</v>
      </c>
      <c r="D154" t="s">
        <v>1498</v>
      </c>
      <c r="E154" s="14">
        <f t="shared" si="32"/>
        <v>46165</v>
      </c>
      <c r="F154" t="str">
        <f t="shared" si="33"/>
        <v>pascua_s7_sa</v>
      </c>
      <c r="G154" s="15" t="str">
        <f t="shared" si="34"/>
        <v>"23/05/2026": "pascua_s7_sa",</v>
      </c>
      <c r="H154" t="str">
        <f t="shared" si="35"/>
        <v/>
      </c>
    </row>
    <row r="155" spans="1:9">
      <c r="A155">
        <f t="shared" si="30"/>
        <v>2026</v>
      </c>
      <c r="B155" t="str">
        <f t="shared" si="31"/>
        <v>do</v>
      </c>
      <c r="C155" s="18">
        <f>C154+1</f>
        <v>8</v>
      </c>
      <c r="D155" t="s">
        <v>1498</v>
      </c>
      <c r="E155" s="14">
        <f t="shared" si="32"/>
        <v>46166</v>
      </c>
      <c r="F155" t="str">
        <f t="shared" si="33"/>
        <v>pascua_s8_do</v>
      </c>
      <c r="G155" s="15" t="str">
        <f t="shared" si="34"/>
        <v>"24/05/2026": "pascua_s8_do",</v>
      </c>
      <c r="H155" t="str">
        <f t="shared" si="35"/>
        <v>// TIEMPO PASCUA SEMANA 8</v>
      </c>
      <c r="I155" t="s">
        <v>1533</v>
      </c>
    </row>
    <row r="156" spans="1:9">
      <c r="A156">
        <f t="shared" si="30"/>
        <v>2026</v>
      </c>
      <c r="B156" t="str">
        <f t="shared" si="31"/>
        <v>lu</v>
      </c>
      <c r="C156">
        <f t="shared" ref="C156:C162" si="38">+C155</f>
        <v>8</v>
      </c>
      <c r="D156" t="s">
        <v>1496</v>
      </c>
      <c r="E156" s="14">
        <f t="shared" si="32"/>
        <v>46167</v>
      </c>
      <c r="F156" t="str">
        <f t="shared" si="33"/>
        <v>ordinario_s8_lu</v>
      </c>
      <c r="G156" s="15" t="str">
        <f t="shared" si="34"/>
        <v>"25/05/2026": "ordinario_s8_lu",</v>
      </c>
      <c r="H156" t="str">
        <f t="shared" si="35"/>
        <v/>
      </c>
    </row>
    <row r="157" spans="1:9">
      <c r="A157">
        <f t="shared" si="30"/>
        <v>2026</v>
      </c>
      <c r="B157" t="str">
        <f t="shared" si="31"/>
        <v>ma</v>
      </c>
      <c r="C157">
        <f t="shared" si="38"/>
        <v>8</v>
      </c>
      <c r="D157" t="s">
        <v>1496</v>
      </c>
      <c r="E157" s="14">
        <f t="shared" si="32"/>
        <v>46168</v>
      </c>
      <c r="F157" t="str">
        <f t="shared" si="33"/>
        <v>ordinario_s8_ma</v>
      </c>
      <c r="G157" s="15" t="str">
        <f t="shared" si="34"/>
        <v>"26/05/2026": "ordinario_s8_ma",</v>
      </c>
      <c r="H157" t="str">
        <f t="shared" si="35"/>
        <v/>
      </c>
    </row>
    <row r="158" spans="1:9">
      <c r="A158">
        <f t="shared" si="30"/>
        <v>2026</v>
      </c>
      <c r="B158" t="str">
        <f t="shared" si="31"/>
        <v>mi</v>
      </c>
      <c r="C158">
        <f t="shared" si="38"/>
        <v>8</v>
      </c>
      <c r="D158" t="s">
        <v>1496</v>
      </c>
      <c r="E158" s="14">
        <f t="shared" si="32"/>
        <v>46169</v>
      </c>
      <c r="F158" t="str">
        <f t="shared" si="33"/>
        <v>ordinario_s8_mi</v>
      </c>
      <c r="G158" s="15" t="str">
        <f t="shared" si="34"/>
        <v>"27/05/2026": "ordinario_s8_mi",</v>
      </c>
      <c r="H158" t="str">
        <f t="shared" si="35"/>
        <v/>
      </c>
    </row>
    <row r="159" spans="1:9">
      <c r="A159">
        <f t="shared" si="30"/>
        <v>2026</v>
      </c>
      <c r="B159" t="str">
        <f t="shared" si="31"/>
        <v>ju</v>
      </c>
      <c r="C159">
        <f t="shared" si="38"/>
        <v>8</v>
      </c>
      <c r="D159" t="s">
        <v>1496</v>
      </c>
      <c r="E159" s="14">
        <f t="shared" si="32"/>
        <v>46170</v>
      </c>
      <c r="F159" t="str">
        <f t="shared" si="33"/>
        <v>ordinario_s8_ju</v>
      </c>
      <c r="G159" s="15" t="str">
        <f t="shared" si="34"/>
        <v>"28/05/2026": "ordinario_s8_ju",</v>
      </c>
      <c r="H159" t="str">
        <f t="shared" si="35"/>
        <v/>
      </c>
    </row>
    <row r="160" spans="1:9">
      <c r="A160">
        <f t="shared" si="30"/>
        <v>2026</v>
      </c>
      <c r="B160" t="str">
        <f t="shared" si="31"/>
        <v>vi</v>
      </c>
      <c r="C160">
        <f t="shared" si="38"/>
        <v>8</v>
      </c>
      <c r="D160" t="s">
        <v>1496</v>
      </c>
      <c r="E160" s="14">
        <f t="shared" si="32"/>
        <v>46171</v>
      </c>
      <c r="F160" t="str">
        <f t="shared" si="33"/>
        <v>ordinario_s8_vi</v>
      </c>
      <c r="G160" s="15" t="str">
        <f t="shared" si="34"/>
        <v>"29/05/2026": "ordinario_s8_vi",</v>
      </c>
      <c r="H160" t="str">
        <f t="shared" si="35"/>
        <v/>
      </c>
    </row>
    <row r="161" spans="1:9">
      <c r="A161">
        <f t="shared" si="30"/>
        <v>2026</v>
      </c>
      <c r="B161" t="str">
        <f t="shared" si="31"/>
        <v>sa</v>
      </c>
      <c r="C161">
        <f t="shared" si="38"/>
        <v>8</v>
      </c>
      <c r="D161" t="s">
        <v>1496</v>
      </c>
      <c r="E161" s="14">
        <f t="shared" si="32"/>
        <v>46172</v>
      </c>
      <c r="F161" t="str">
        <f t="shared" si="33"/>
        <v>ordinario_s8_sa</v>
      </c>
      <c r="G161" s="15" t="str">
        <f t="shared" si="34"/>
        <v>"30/05/2026": "ordinario_s8_sa",</v>
      </c>
      <c r="H161" t="str">
        <f t="shared" si="35"/>
        <v/>
      </c>
    </row>
    <row r="162" spans="1:9">
      <c r="A162">
        <f t="shared" si="30"/>
        <v>2026</v>
      </c>
      <c r="B162" t="str">
        <f t="shared" si="31"/>
        <v>do</v>
      </c>
      <c r="C162">
        <f>C161+1</f>
        <v>9</v>
      </c>
      <c r="D162" t="s">
        <v>1496</v>
      </c>
      <c r="E162" s="14">
        <f t="shared" si="32"/>
        <v>46173</v>
      </c>
      <c r="F162" t="str">
        <f t="shared" si="33"/>
        <v>ordinario_s9_do</v>
      </c>
      <c r="G162" s="15" t="str">
        <f t="shared" si="34"/>
        <v>"31/05/2026": "ordinario_s9_do",</v>
      </c>
      <c r="H162" t="str">
        <f t="shared" si="35"/>
        <v>// TIEMPO ORDINARIO SEMANA 9</v>
      </c>
      <c r="I162" t="s">
        <v>1534</v>
      </c>
    </row>
    <row r="163" spans="1:9">
      <c r="A163">
        <f t="shared" si="30"/>
        <v>2026</v>
      </c>
      <c r="B163" t="str">
        <f t="shared" si="31"/>
        <v>lu</v>
      </c>
      <c r="C163">
        <f t="shared" ref="C163:C169" si="39">+C162</f>
        <v>9</v>
      </c>
      <c r="D163" t="s">
        <v>1496</v>
      </c>
      <c r="E163" s="14">
        <f t="shared" si="32"/>
        <v>46174</v>
      </c>
      <c r="F163" t="str">
        <f t="shared" si="33"/>
        <v>ordinario_s9_lu</v>
      </c>
      <c r="G163" s="15" t="str">
        <f t="shared" si="34"/>
        <v>"01/06/2026": "ordinario_s9_lu",</v>
      </c>
      <c r="H163" t="str">
        <f t="shared" si="35"/>
        <v/>
      </c>
    </row>
    <row r="164" spans="1:9">
      <c r="A164">
        <f t="shared" si="30"/>
        <v>2026</v>
      </c>
      <c r="B164" t="str">
        <f t="shared" si="31"/>
        <v>ma</v>
      </c>
      <c r="C164">
        <f t="shared" si="39"/>
        <v>9</v>
      </c>
      <c r="D164" t="s">
        <v>1496</v>
      </c>
      <c r="E164" s="14">
        <f t="shared" si="32"/>
        <v>46175</v>
      </c>
      <c r="F164" t="str">
        <f t="shared" si="33"/>
        <v>ordinario_s9_ma</v>
      </c>
      <c r="G164" s="15" t="str">
        <f t="shared" si="34"/>
        <v>"02/06/2026": "ordinario_s9_ma",</v>
      </c>
      <c r="H164" t="str">
        <f t="shared" si="35"/>
        <v/>
      </c>
    </row>
    <row r="165" spans="1:9">
      <c r="A165">
        <f t="shared" si="30"/>
        <v>2026</v>
      </c>
      <c r="B165" t="str">
        <f t="shared" si="31"/>
        <v>mi</v>
      </c>
      <c r="C165">
        <f t="shared" si="39"/>
        <v>9</v>
      </c>
      <c r="D165" t="s">
        <v>1496</v>
      </c>
      <c r="E165" s="14">
        <f t="shared" si="32"/>
        <v>46176</v>
      </c>
      <c r="F165" t="str">
        <f t="shared" si="33"/>
        <v>ordinario_s9_mi</v>
      </c>
      <c r="G165" s="15" t="str">
        <f t="shared" si="34"/>
        <v>"03/06/2026": "ordinario_s9_mi",</v>
      </c>
      <c r="H165" t="str">
        <f t="shared" si="35"/>
        <v/>
      </c>
    </row>
    <row r="166" spans="1:9">
      <c r="A166">
        <f t="shared" si="30"/>
        <v>2026</v>
      </c>
      <c r="B166" t="str">
        <f t="shared" si="31"/>
        <v>ju</v>
      </c>
      <c r="C166">
        <f t="shared" si="39"/>
        <v>9</v>
      </c>
      <c r="D166" t="s">
        <v>1496</v>
      </c>
      <c r="E166" s="14">
        <f t="shared" si="32"/>
        <v>46177</v>
      </c>
      <c r="F166" t="str">
        <f t="shared" si="33"/>
        <v>ordinario_s9_ju</v>
      </c>
      <c r="G166" s="15" t="str">
        <f t="shared" si="34"/>
        <v>"04/06/2026": "ordinario_s9_ju",</v>
      </c>
      <c r="H166" t="str">
        <f t="shared" si="35"/>
        <v/>
      </c>
    </row>
    <row r="167" spans="1:9">
      <c r="A167">
        <f t="shared" si="30"/>
        <v>2026</v>
      </c>
      <c r="B167" t="str">
        <f t="shared" si="31"/>
        <v>vi</v>
      </c>
      <c r="C167">
        <f t="shared" si="39"/>
        <v>9</v>
      </c>
      <c r="D167" t="s">
        <v>1496</v>
      </c>
      <c r="E167" s="14">
        <f t="shared" si="32"/>
        <v>46178</v>
      </c>
      <c r="F167" t="str">
        <f t="shared" si="33"/>
        <v>ordinario_s9_vi</v>
      </c>
      <c r="G167" s="15" t="str">
        <f t="shared" si="34"/>
        <v>"05/06/2026": "ordinario_s9_vi",</v>
      </c>
      <c r="H167" t="str">
        <f t="shared" si="35"/>
        <v/>
      </c>
    </row>
    <row r="168" spans="1:9">
      <c r="A168">
        <f t="shared" si="30"/>
        <v>2026</v>
      </c>
      <c r="B168" t="str">
        <f t="shared" si="31"/>
        <v>sa</v>
      </c>
      <c r="C168">
        <f t="shared" si="39"/>
        <v>9</v>
      </c>
      <c r="D168" t="s">
        <v>1496</v>
      </c>
      <c r="E168" s="14">
        <f t="shared" si="32"/>
        <v>46179</v>
      </c>
      <c r="F168" t="str">
        <f t="shared" si="33"/>
        <v>ordinario_s9_sa</v>
      </c>
      <c r="G168" s="15" t="str">
        <f t="shared" si="34"/>
        <v>"06/06/2026": "ordinario_s9_sa",</v>
      </c>
      <c r="H168" t="str">
        <f t="shared" si="35"/>
        <v/>
      </c>
    </row>
    <row r="169" spans="1:9">
      <c r="A169">
        <f t="shared" si="30"/>
        <v>2026</v>
      </c>
      <c r="B169" t="str">
        <f t="shared" si="31"/>
        <v>do</v>
      </c>
      <c r="C169">
        <f>C168+1</f>
        <v>10</v>
      </c>
      <c r="D169" t="s">
        <v>1496</v>
      </c>
      <c r="E169" s="14">
        <f t="shared" si="32"/>
        <v>46180</v>
      </c>
      <c r="F169" t="str">
        <f t="shared" si="33"/>
        <v>ordinario_s10_do</v>
      </c>
      <c r="G169" s="15" t="str">
        <f t="shared" si="34"/>
        <v>"07/06/2026": "ordinario_s10_do",</v>
      </c>
      <c r="H169" t="str">
        <f t="shared" si="35"/>
        <v>// TIEMPO ORDINARIO SEMANA 10</v>
      </c>
      <c r="I169" t="s">
        <v>1536</v>
      </c>
    </row>
    <row r="170" spans="1:9">
      <c r="A170">
        <f t="shared" si="30"/>
        <v>2026</v>
      </c>
      <c r="B170" t="str">
        <f t="shared" si="31"/>
        <v>lu</v>
      </c>
      <c r="C170">
        <f t="shared" ref="C170:C176" si="40">+C169</f>
        <v>10</v>
      </c>
      <c r="D170" t="s">
        <v>1496</v>
      </c>
      <c r="E170" s="14">
        <f t="shared" si="32"/>
        <v>46181</v>
      </c>
      <c r="F170" t="str">
        <f t="shared" si="33"/>
        <v>ordinario_s10_lu</v>
      </c>
      <c r="G170" s="15" t="str">
        <f t="shared" si="34"/>
        <v>"08/06/2026": "ordinario_s10_lu",</v>
      </c>
      <c r="H170" t="str">
        <f t="shared" si="35"/>
        <v/>
      </c>
    </row>
    <row r="171" spans="1:9">
      <c r="A171">
        <f t="shared" si="30"/>
        <v>2026</v>
      </c>
      <c r="B171" t="str">
        <f t="shared" si="31"/>
        <v>ma</v>
      </c>
      <c r="C171">
        <f t="shared" si="40"/>
        <v>10</v>
      </c>
      <c r="D171" t="s">
        <v>1496</v>
      </c>
      <c r="E171" s="14">
        <f t="shared" si="32"/>
        <v>46182</v>
      </c>
      <c r="F171" t="str">
        <f t="shared" si="33"/>
        <v>ordinario_s10_ma</v>
      </c>
      <c r="G171" s="15" t="str">
        <f t="shared" si="34"/>
        <v>"09/06/2026": "ordinario_s10_ma",</v>
      </c>
      <c r="H171" t="str">
        <f t="shared" si="35"/>
        <v/>
      </c>
    </row>
    <row r="172" spans="1:9">
      <c r="A172">
        <f t="shared" si="30"/>
        <v>2026</v>
      </c>
      <c r="B172" t="str">
        <f t="shared" si="31"/>
        <v>mi</v>
      </c>
      <c r="C172">
        <f t="shared" si="40"/>
        <v>10</v>
      </c>
      <c r="D172" t="s">
        <v>1496</v>
      </c>
      <c r="E172" s="14">
        <f t="shared" si="32"/>
        <v>46183</v>
      </c>
      <c r="F172" t="str">
        <f t="shared" si="33"/>
        <v>ordinario_s10_mi</v>
      </c>
      <c r="G172" s="15" t="str">
        <f t="shared" si="34"/>
        <v>"10/06/2026": "ordinario_s10_mi",</v>
      </c>
      <c r="H172" t="str">
        <f t="shared" si="35"/>
        <v/>
      </c>
    </row>
    <row r="173" spans="1:9">
      <c r="A173">
        <f t="shared" ref="A173:A204" si="41">YEAR(E173)</f>
        <v>2026</v>
      </c>
      <c r="B173" t="str">
        <f t="shared" ref="B173:B204" si="42">CHOOSE(WEEKDAY(E173), "do", "lu", "ma", "mi", "ju", "vi", "sa")</f>
        <v>ju</v>
      </c>
      <c r="C173">
        <f t="shared" si="40"/>
        <v>10</v>
      </c>
      <c r="D173" t="s">
        <v>1496</v>
      </c>
      <c r="E173" s="14">
        <f t="shared" si="32"/>
        <v>46184</v>
      </c>
      <c r="F173" t="str">
        <f t="shared" ref="F173:F204" si="43">_xlfn.CONCAT(D173,"_s",C173,"_",B173)</f>
        <v>ordinario_s10_ju</v>
      </c>
      <c r="G173" s="15" t="str">
        <f t="shared" ref="G173:G204" si="44">"""" &amp; TEXT(E173, "dd/mm/yyyy") &amp; """: """ &amp; F173 &amp; ""","</f>
        <v>"11/06/2026": "ordinario_s10_ju",</v>
      </c>
      <c r="H173" t="str">
        <f t="shared" ref="H173:H204" si="45">IF(B173="do", "// TIEMPO " &amp; UPPER(D173) &amp; " SEMANA " &amp; C173, "")</f>
        <v/>
      </c>
    </row>
    <row r="174" spans="1:9">
      <c r="A174">
        <f t="shared" si="41"/>
        <v>2026</v>
      </c>
      <c r="B174" t="str">
        <f t="shared" si="42"/>
        <v>vi</v>
      </c>
      <c r="C174">
        <f t="shared" si="40"/>
        <v>10</v>
      </c>
      <c r="D174" t="s">
        <v>1496</v>
      </c>
      <c r="E174" s="14">
        <f t="shared" si="32"/>
        <v>46185</v>
      </c>
      <c r="F174" t="str">
        <f t="shared" si="43"/>
        <v>ordinario_s10_vi</v>
      </c>
      <c r="G174" s="15" t="str">
        <f t="shared" si="44"/>
        <v>"12/06/2026": "ordinario_s10_vi",</v>
      </c>
      <c r="H174" t="str">
        <f t="shared" si="45"/>
        <v/>
      </c>
      <c r="I174" t="s">
        <v>1535</v>
      </c>
    </row>
    <row r="175" spans="1:9">
      <c r="A175">
        <f t="shared" si="41"/>
        <v>2026</v>
      </c>
      <c r="B175" t="str">
        <f t="shared" si="42"/>
        <v>sa</v>
      </c>
      <c r="C175">
        <f t="shared" si="40"/>
        <v>10</v>
      </c>
      <c r="D175" t="s">
        <v>1496</v>
      </c>
      <c r="E175" s="14">
        <f t="shared" si="32"/>
        <v>46186</v>
      </c>
      <c r="F175" t="str">
        <f t="shared" si="43"/>
        <v>ordinario_s10_sa</v>
      </c>
      <c r="G175" s="15" t="str">
        <f t="shared" si="44"/>
        <v>"13/06/2026": "ordinario_s10_sa",</v>
      </c>
      <c r="H175" t="str">
        <f t="shared" si="45"/>
        <v/>
      </c>
    </row>
    <row r="176" spans="1:9">
      <c r="A176">
        <f t="shared" si="41"/>
        <v>2026</v>
      </c>
      <c r="B176" t="str">
        <f t="shared" si="42"/>
        <v>do</v>
      </c>
      <c r="C176">
        <f>C175+1</f>
        <v>11</v>
      </c>
      <c r="D176" t="s">
        <v>1496</v>
      </c>
      <c r="E176" s="14">
        <f t="shared" si="32"/>
        <v>46187</v>
      </c>
      <c r="F176" t="str">
        <f t="shared" si="43"/>
        <v>ordinario_s11_do</v>
      </c>
      <c r="G176" s="15" t="str">
        <f t="shared" si="44"/>
        <v>"14/06/2026": "ordinario_s11_do",</v>
      </c>
      <c r="H176" t="str">
        <f t="shared" si="45"/>
        <v>// TIEMPO ORDINARIO SEMANA 11</v>
      </c>
    </row>
    <row r="177" spans="1:9">
      <c r="A177">
        <f t="shared" si="41"/>
        <v>2026</v>
      </c>
      <c r="B177" t="str">
        <f t="shared" si="42"/>
        <v>lu</v>
      </c>
      <c r="C177">
        <f t="shared" ref="C177:C183" si="46">+C176</f>
        <v>11</v>
      </c>
      <c r="D177" t="s">
        <v>1496</v>
      </c>
      <c r="E177" s="14">
        <f t="shared" si="32"/>
        <v>46188</v>
      </c>
      <c r="F177" t="str">
        <f t="shared" si="43"/>
        <v>ordinario_s11_lu</v>
      </c>
      <c r="G177" s="15" t="str">
        <f t="shared" si="44"/>
        <v>"15/06/2026": "ordinario_s11_lu",</v>
      </c>
      <c r="H177" t="str">
        <f t="shared" si="45"/>
        <v/>
      </c>
    </row>
    <row r="178" spans="1:9">
      <c r="A178">
        <f t="shared" si="41"/>
        <v>2026</v>
      </c>
      <c r="B178" t="str">
        <f t="shared" si="42"/>
        <v>ma</v>
      </c>
      <c r="C178">
        <f t="shared" si="46"/>
        <v>11</v>
      </c>
      <c r="D178" t="s">
        <v>1496</v>
      </c>
      <c r="E178" s="14">
        <f t="shared" si="32"/>
        <v>46189</v>
      </c>
      <c r="F178" t="str">
        <f t="shared" si="43"/>
        <v>ordinario_s11_ma</v>
      </c>
      <c r="G178" s="15" t="str">
        <f t="shared" si="44"/>
        <v>"16/06/2026": "ordinario_s11_ma",</v>
      </c>
      <c r="H178" t="str">
        <f t="shared" si="45"/>
        <v/>
      </c>
    </row>
    <row r="179" spans="1:9">
      <c r="A179">
        <f t="shared" si="41"/>
        <v>2026</v>
      </c>
      <c r="B179" t="str">
        <f t="shared" si="42"/>
        <v>mi</v>
      </c>
      <c r="C179">
        <f t="shared" si="46"/>
        <v>11</v>
      </c>
      <c r="D179" t="s">
        <v>1496</v>
      </c>
      <c r="E179" s="14">
        <f t="shared" si="32"/>
        <v>46190</v>
      </c>
      <c r="F179" t="str">
        <f t="shared" si="43"/>
        <v>ordinario_s11_mi</v>
      </c>
      <c r="G179" s="15" t="str">
        <f t="shared" si="44"/>
        <v>"17/06/2026": "ordinario_s11_mi",</v>
      </c>
      <c r="H179" t="str">
        <f t="shared" si="45"/>
        <v/>
      </c>
    </row>
    <row r="180" spans="1:9">
      <c r="A180">
        <f t="shared" si="41"/>
        <v>2026</v>
      </c>
      <c r="B180" t="str">
        <f t="shared" si="42"/>
        <v>ju</v>
      </c>
      <c r="C180">
        <f t="shared" si="46"/>
        <v>11</v>
      </c>
      <c r="D180" t="s">
        <v>1496</v>
      </c>
      <c r="E180" s="14">
        <f t="shared" si="32"/>
        <v>46191</v>
      </c>
      <c r="F180" t="str">
        <f t="shared" si="43"/>
        <v>ordinario_s11_ju</v>
      </c>
      <c r="G180" s="15" t="str">
        <f t="shared" si="44"/>
        <v>"18/06/2026": "ordinario_s11_ju",</v>
      </c>
      <c r="H180" t="str">
        <f t="shared" si="45"/>
        <v/>
      </c>
    </row>
    <row r="181" spans="1:9">
      <c r="A181">
        <f t="shared" si="41"/>
        <v>2026</v>
      </c>
      <c r="B181" t="str">
        <f t="shared" si="42"/>
        <v>vi</v>
      </c>
      <c r="C181">
        <f t="shared" si="46"/>
        <v>11</v>
      </c>
      <c r="D181" t="s">
        <v>1496</v>
      </c>
      <c r="E181" s="14">
        <f t="shared" si="32"/>
        <v>46192</v>
      </c>
      <c r="F181" t="str">
        <f t="shared" si="43"/>
        <v>ordinario_s11_vi</v>
      </c>
      <c r="G181" s="15" t="str">
        <f t="shared" si="44"/>
        <v>"19/06/2026": "ordinario_s11_vi",</v>
      </c>
      <c r="H181" t="str">
        <f t="shared" si="45"/>
        <v/>
      </c>
    </row>
    <row r="182" spans="1:9">
      <c r="A182">
        <f t="shared" si="41"/>
        <v>2026</v>
      </c>
      <c r="B182" t="str">
        <f t="shared" si="42"/>
        <v>sa</v>
      </c>
      <c r="C182">
        <f t="shared" si="46"/>
        <v>11</v>
      </c>
      <c r="D182" t="s">
        <v>1496</v>
      </c>
      <c r="E182" s="14">
        <f t="shared" si="32"/>
        <v>46193</v>
      </c>
      <c r="F182" t="str">
        <f t="shared" si="43"/>
        <v>ordinario_s11_sa</v>
      </c>
      <c r="G182" s="15" t="str">
        <f t="shared" si="44"/>
        <v>"20/06/2026": "ordinario_s11_sa",</v>
      </c>
      <c r="H182" t="str">
        <f t="shared" si="45"/>
        <v/>
      </c>
    </row>
    <row r="183" spans="1:9">
      <c r="A183">
        <f t="shared" si="41"/>
        <v>2026</v>
      </c>
      <c r="B183" t="str">
        <f t="shared" si="42"/>
        <v>do</v>
      </c>
      <c r="C183">
        <f>C182+1</f>
        <v>12</v>
      </c>
      <c r="D183" t="s">
        <v>1496</v>
      </c>
      <c r="E183" s="14">
        <f t="shared" si="32"/>
        <v>46194</v>
      </c>
      <c r="F183" t="str">
        <f t="shared" si="43"/>
        <v>ordinario_s12_do</v>
      </c>
      <c r="G183" s="15" t="str">
        <f t="shared" si="44"/>
        <v>"21/06/2026": "ordinario_s12_do",</v>
      </c>
      <c r="H183" t="str">
        <f t="shared" si="45"/>
        <v>// TIEMPO ORDINARIO SEMANA 12</v>
      </c>
    </row>
    <row r="184" spans="1:9">
      <c r="A184">
        <f t="shared" si="41"/>
        <v>2026</v>
      </c>
      <c r="B184" t="str">
        <f t="shared" si="42"/>
        <v>lu</v>
      </c>
      <c r="C184">
        <f t="shared" ref="C184:C190" si="47">+C183</f>
        <v>12</v>
      </c>
      <c r="D184" t="s">
        <v>1496</v>
      </c>
      <c r="E184" s="14">
        <f t="shared" si="32"/>
        <v>46195</v>
      </c>
      <c r="F184" t="str">
        <f t="shared" si="43"/>
        <v>ordinario_s12_lu</v>
      </c>
      <c r="G184" s="15" t="str">
        <f t="shared" si="44"/>
        <v>"22/06/2026": "ordinario_s12_lu",</v>
      </c>
      <c r="H184" t="str">
        <f t="shared" si="45"/>
        <v/>
      </c>
    </row>
    <row r="185" spans="1:9">
      <c r="A185">
        <f t="shared" si="41"/>
        <v>2026</v>
      </c>
      <c r="B185" t="str">
        <f t="shared" si="42"/>
        <v>ma</v>
      </c>
      <c r="C185">
        <f t="shared" si="47"/>
        <v>12</v>
      </c>
      <c r="D185" t="s">
        <v>1496</v>
      </c>
      <c r="E185" s="14">
        <f t="shared" si="32"/>
        <v>46196</v>
      </c>
      <c r="F185" t="str">
        <f t="shared" si="43"/>
        <v>ordinario_s12_ma</v>
      </c>
      <c r="G185" s="15" t="str">
        <f t="shared" si="44"/>
        <v>"23/06/2026": "ordinario_s12_ma",</v>
      </c>
      <c r="H185" t="str">
        <f t="shared" si="45"/>
        <v/>
      </c>
    </row>
    <row r="186" spans="1:9">
      <c r="A186">
        <f t="shared" si="41"/>
        <v>2026</v>
      </c>
      <c r="B186" t="str">
        <f t="shared" si="42"/>
        <v>mi</v>
      </c>
      <c r="C186">
        <f t="shared" si="47"/>
        <v>12</v>
      </c>
      <c r="D186" t="s">
        <v>1496</v>
      </c>
      <c r="E186" s="14">
        <f t="shared" si="32"/>
        <v>46197</v>
      </c>
      <c r="F186" t="str">
        <f t="shared" si="43"/>
        <v>ordinario_s12_mi</v>
      </c>
      <c r="G186" s="15" t="str">
        <f t="shared" si="44"/>
        <v>"24/06/2026": "ordinario_s12_mi",</v>
      </c>
      <c r="H186" t="str">
        <f t="shared" si="45"/>
        <v/>
      </c>
      <c r="I186" t="s">
        <v>1537</v>
      </c>
    </row>
    <row r="187" spans="1:9">
      <c r="A187">
        <f t="shared" si="41"/>
        <v>2026</v>
      </c>
      <c r="B187" t="str">
        <f t="shared" si="42"/>
        <v>ju</v>
      </c>
      <c r="C187">
        <f t="shared" si="47"/>
        <v>12</v>
      </c>
      <c r="D187" t="s">
        <v>1496</v>
      </c>
      <c r="E187" s="14">
        <f t="shared" si="32"/>
        <v>46198</v>
      </c>
      <c r="F187" t="str">
        <f t="shared" si="43"/>
        <v>ordinario_s12_ju</v>
      </c>
      <c r="G187" s="15" t="str">
        <f t="shared" si="44"/>
        <v>"25/06/2026": "ordinario_s12_ju",</v>
      </c>
      <c r="H187" t="str">
        <f t="shared" si="45"/>
        <v/>
      </c>
    </row>
    <row r="188" spans="1:9">
      <c r="A188">
        <f t="shared" si="41"/>
        <v>2026</v>
      </c>
      <c r="B188" t="str">
        <f t="shared" si="42"/>
        <v>vi</v>
      </c>
      <c r="C188">
        <f t="shared" si="47"/>
        <v>12</v>
      </c>
      <c r="D188" t="s">
        <v>1496</v>
      </c>
      <c r="E188" s="14">
        <f t="shared" si="32"/>
        <v>46199</v>
      </c>
      <c r="F188" t="str">
        <f t="shared" si="43"/>
        <v>ordinario_s12_vi</v>
      </c>
      <c r="G188" s="15" t="str">
        <f t="shared" si="44"/>
        <v>"26/06/2026": "ordinario_s12_vi",</v>
      </c>
      <c r="H188" t="str">
        <f t="shared" si="45"/>
        <v/>
      </c>
    </row>
    <row r="189" spans="1:9">
      <c r="A189">
        <f t="shared" si="41"/>
        <v>2026</v>
      </c>
      <c r="B189" t="str">
        <f t="shared" si="42"/>
        <v>sa</v>
      </c>
      <c r="C189">
        <f t="shared" si="47"/>
        <v>12</v>
      </c>
      <c r="D189" t="s">
        <v>1496</v>
      </c>
      <c r="E189" s="14">
        <f t="shared" si="32"/>
        <v>46200</v>
      </c>
      <c r="F189" t="str">
        <f t="shared" si="43"/>
        <v>ordinario_s12_sa</v>
      </c>
      <c r="G189" s="15" t="str">
        <f t="shared" si="44"/>
        <v>"27/06/2026": "ordinario_s12_sa",</v>
      </c>
      <c r="H189" t="str">
        <f t="shared" si="45"/>
        <v/>
      </c>
    </row>
    <row r="190" spans="1:9">
      <c r="A190">
        <f t="shared" si="41"/>
        <v>2026</v>
      </c>
      <c r="B190" t="str">
        <f t="shared" si="42"/>
        <v>do</v>
      </c>
      <c r="C190">
        <f>C189+1</f>
        <v>13</v>
      </c>
      <c r="D190" t="s">
        <v>1496</v>
      </c>
      <c r="E190" s="14">
        <f t="shared" si="32"/>
        <v>46201</v>
      </c>
      <c r="F190" t="str">
        <f t="shared" si="43"/>
        <v>ordinario_s13_do</v>
      </c>
      <c r="G190" s="15" t="str">
        <f t="shared" si="44"/>
        <v>"28/06/2026": "ordinario_s13_do",</v>
      </c>
      <c r="H190" t="str">
        <f t="shared" si="45"/>
        <v>// TIEMPO ORDINARIO SEMANA 13</v>
      </c>
    </row>
    <row r="191" spans="1:9">
      <c r="A191">
        <f t="shared" si="41"/>
        <v>2026</v>
      </c>
      <c r="B191" t="str">
        <f t="shared" si="42"/>
        <v>lu</v>
      </c>
      <c r="C191">
        <f t="shared" ref="C191:C197" si="48">+C190</f>
        <v>13</v>
      </c>
      <c r="D191" t="s">
        <v>1496</v>
      </c>
      <c r="E191" s="14">
        <f t="shared" si="32"/>
        <v>46202</v>
      </c>
      <c r="F191" t="str">
        <f t="shared" si="43"/>
        <v>ordinario_s13_lu</v>
      </c>
      <c r="G191" s="15" t="str">
        <f t="shared" si="44"/>
        <v>"29/06/2026": "ordinario_s13_lu",</v>
      </c>
      <c r="H191" t="str">
        <f t="shared" si="45"/>
        <v/>
      </c>
      <c r="I191" t="s">
        <v>1538</v>
      </c>
    </row>
    <row r="192" spans="1:9">
      <c r="A192">
        <f t="shared" si="41"/>
        <v>2026</v>
      </c>
      <c r="B192" t="str">
        <f t="shared" si="42"/>
        <v>ma</v>
      </c>
      <c r="C192">
        <f t="shared" si="48"/>
        <v>13</v>
      </c>
      <c r="D192" t="s">
        <v>1496</v>
      </c>
      <c r="E192" s="14">
        <f t="shared" si="32"/>
        <v>46203</v>
      </c>
      <c r="F192" t="str">
        <f t="shared" si="43"/>
        <v>ordinario_s13_ma</v>
      </c>
      <c r="G192" s="15" t="str">
        <f t="shared" si="44"/>
        <v>"30/06/2026": "ordinario_s13_ma",</v>
      </c>
      <c r="H192" t="str">
        <f t="shared" si="45"/>
        <v/>
      </c>
    </row>
    <row r="193" spans="1:8">
      <c r="A193">
        <f t="shared" si="41"/>
        <v>2026</v>
      </c>
      <c r="B193" t="str">
        <f t="shared" si="42"/>
        <v>mi</v>
      </c>
      <c r="C193">
        <f t="shared" si="48"/>
        <v>13</v>
      </c>
      <c r="D193" t="s">
        <v>1496</v>
      </c>
      <c r="E193" s="14">
        <f t="shared" si="32"/>
        <v>46204</v>
      </c>
      <c r="F193" t="str">
        <f t="shared" si="43"/>
        <v>ordinario_s13_mi</v>
      </c>
      <c r="G193" s="15" t="str">
        <f t="shared" si="44"/>
        <v>"01/07/2026": "ordinario_s13_mi",</v>
      </c>
      <c r="H193" t="str">
        <f t="shared" si="45"/>
        <v/>
      </c>
    </row>
    <row r="194" spans="1:8">
      <c r="A194">
        <f t="shared" si="41"/>
        <v>2026</v>
      </c>
      <c r="B194" t="str">
        <f t="shared" si="42"/>
        <v>ju</v>
      </c>
      <c r="C194">
        <f t="shared" si="48"/>
        <v>13</v>
      </c>
      <c r="D194" t="s">
        <v>1496</v>
      </c>
      <c r="E194" s="14">
        <f t="shared" si="32"/>
        <v>46205</v>
      </c>
      <c r="F194" t="str">
        <f t="shared" si="43"/>
        <v>ordinario_s13_ju</v>
      </c>
      <c r="G194" s="15" t="str">
        <f t="shared" si="44"/>
        <v>"02/07/2026": "ordinario_s13_ju",</v>
      </c>
      <c r="H194" t="str">
        <f t="shared" si="45"/>
        <v/>
      </c>
    </row>
    <row r="195" spans="1:8">
      <c r="A195">
        <f t="shared" si="41"/>
        <v>2026</v>
      </c>
      <c r="B195" t="str">
        <f t="shared" si="42"/>
        <v>vi</v>
      </c>
      <c r="C195">
        <f t="shared" si="48"/>
        <v>13</v>
      </c>
      <c r="D195" t="s">
        <v>1496</v>
      </c>
      <c r="E195" s="14">
        <f t="shared" si="32"/>
        <v>46206</v>
      </c>
      <c r="F195" t="str">
        <f t="shared" si="43"/>
        <v>ordinario_s13_vi</v>
      </c>
      <c r="G195" s="15" t="str">
        <f t="shared" si="44"/>
        <v>"03/07/2026": "ordinario_s13_vi",</v>
      </c>
      <c r="H195" t="str">
        <f t="shared" si="45"/>
        <v/>
      </c>
    </row>
    <row r="196" spans="1:8">
      <c r="A196">
        <f t="shared" si="41"/>
        <v>2026</v>
      </c>
      <c r="B196" t="str">
        <f t="shared" si="42"/>
        <v>sa</v>
      </c>
      <c r="C196">
        <f t="shared" si="48"/>
        <v>13</v>
      </c>
      <c r="D196" t="s">
        <v>1496</v>
      </c>
      <c r="E196" s="14">
        <f t="shared" si="32"/>
        <v>46207</v>
      </c>
      <c r="F196" t="str">
        <f t="shared" si="43"/>
        <v>ordinario_s13_sa</v>
      </c>
      <c r="G196" s="15" t="str">
        <f t="shared" si="44"/>
        <v>"04/07/2026": "ordinario_s13_sa",</v>
      </c>
      <c r="H196" t="str">
        <f t="shared" si="45"/>
        <v/>
      </c>
    </row>
    <row r="197" spans="1:8">
      <c r="A197">
        <f t="shared" si="41"/>
        <v>2026</v>
      </c>
      <c r="B197" t="str">
        <f t="shared" si="42"/>
        <v>do</v>
      </c>
      <c r="C197">
        <f>C196+1</f>
        <v>14</v>
      </c>
      <c r="D197" t="s">
        <v>1496</v>
      </c>
      <c r="E197" s="14">
        <f t="shared" si="32"/>
        <v>46208</v>
      </c>
      <c r="F197" t="str">
        <f t="shared" si="43"/>
        <v>ordinario_s14_do</v>
      </c>
      <c r="G197" s="15" t="str">
        <f t="shared" si="44"/>
        <v>"05/07/2026": "ordinario_s14_do",</v>
      </c>
      <c r="H197" t="str">
        <f t="shared" si="45"/>
        <v>// TIEMPO ORDINARIO SEMANA 14</v>
      </c>
    </row>
    <row r="198" spans="1:8">
      <c r="A198">
        <f t="shared" si="41"/>
        <v>2026</v>
      </c>
      <c r="B198" t="str">
        <f t="shared" si="42"/>
        <v>lu</v>
      </c>
      <c r="C198">
        <f t="shared" ref="C198:C204" si="49">+C197</f>
        <v>14</v>
      </c>
      <c r="D198" t="s">
        <v>1496</v>
      </c>
      <c r="E198" s="14">
        <f t="shared" si="32"/>
        <v>46209</v>
      </c>
      <c r="F198" t="str">
        <f t="shared" si="43"/>
        <v>ordinario_s14_lu</v>
      </c>
      <c r="G198" s="15" t="str">
        <f t="shared" si="44"/>
        <v>"06/07/2026": "ordinario_s14_lu",</v>
      </c>
      <c r="H198" t="str">
        <f t="shared" si="45"/>
        <v/>
      </c>
    </row>
    <row r="199" spans="1:8">
      <c r="A199">
        <f t="shared" si="41"/>
        <v>2026</v>
      </c>
      <c r="B199" t="str">
        <f t="shared" si="42"/>
        <v>ma</v>
      </c>
      <c r="C199">
        <f t="shared" si="49"/>
        <v>14</v>
      </c>
      <c r="D199" t="s">
        <v>1496</v>
      </c>
      <c r="E199" s="14">
        <f t="shared" si="32"/>
        <v>46210</v>
      </c>
      <c r="F199" t="str">
        <f t="shared" si="43"/>
        <v>ordinario_s14_ma</v>
      </c>
      <c r="G199" s="15" t="str">
        <f t="shared" si="44"/>
        <v>"07/07/2026": "ordinario_s14_ma",</v>
      </c>
      <c r="H199" t="str">
        <f t="shared" si="45"/>
        <v/>
      </c>
    </row>
    <row r="200" spans="1:8">
      <c r="A200">
        <f t="shared" si="41"/>
        <v>2026</v>
      </c>
      <c r="B200" t="str">
        <f t="shared" si="42"/>
        <v>mi</v>
      </c>
      <c r="C200">
        <f t="shared" si="49"/>
        <v>14</v>
      </c>
      <c r="D200" t="s">
        <v>1496</v>
      </c>
      <c r="E200" s="14">
        <f t="shared" si="32"/>
        <v>46211</v>
      </c>
      <c r="F200" t="str">
        <f t="shared" si="43"/>
        <v>ordinario_s14_mi</v>
      </c>
      <c r="G200" s="15" t="str">
        <f t="shared" si="44"/>
        <v>"08/07/2026": "ordinario_s14_mi",</v>
      </c>
      <c r="H200" t="str">
        <f t="shared" si="45"/>
        <v/>
      </c>
    </row>
    <row r="201" spans="1:8">
      <c r="A201">
        <f t="shared" si="41"/>
        <v>2026</v>
      </c>
      <c r="B201" t="str">
        <f t="shared" si="42"/>
        <v>ju</v>
      </c>
      <c r="C201">
        <f t="shared" si="49"/>
        <v>14</v>
      </c>
      <c r="D201" t="s">
        <v>1496</v>
      </c>
      <c r="E201" s="14">
        <f t="shared" si="32"/>
        <v>46212</v>
      </c>
      <c r="F201" t="str">
        <f t="shared" si="43"/>
        <v>ordinario_s14_ju</v>
      </c>
      <c r="G201" s="15" t="str">
        <f t="shared" si="44"/>
        <v>"09/07/2026": "ordinario_s14_ju",</v>
      </c>
      <c r="H201" t="str">
        <f t="shared" si="45"/>
        <v/>
      </c>
    </row>
    <row r="202" spans="1:8">
      <c r="A202">
        <f t="shared" si="41"/>
        <v>2026</v>
      </c>
      <c r="B202" t="str">
        <f t="shared" si="42"/>
        <v>vi</v>
      </c>
      <c r="C202">
        <f t="shared" si="49"/>
        <v>14</v>
      </c>
      <c r="D202" t="s">
        <v>1496</v>
      </c>
      <c r="E202" s="14">
        <f t="shared" si="32"/>
        <v>46213</v>
      </c>
      <c r="F202" t="str">
        <f t="shared" si="43"/>
        <v>ordinario_s14_vi</v>
      </c>
      <c r="G202" s="15" t="str">
        <f t="shared" si="44"/>
        <v>"10/07/2026": "ordinario_s14_vi",</v>
      </c>
      <c r="H202" t="str">
        <f t="shared" si="45"/>
        <v/>
      </c>
    </row>
    <row r="203" spans="1:8">
      <c r="A203">
        <f t="shared" si="41"/>
        <v>2026</v>
      </c>
      <c r="B203" t="str">
        <f t="shared" si="42"/>
        <v>sa</v>
      </c>
      <c r="C203">
        <f t="shared" si="49"/>
        <v>14</v>
      </c>
      <c r="D203" t="s">
        <v>1496</v>
      </c>
      <c r="E203" s="14">
        <f t="shared" si="32"/>
        <v>46214</v>
      </c>
      <c r="F203" t="str">
        <f t="shared" si="43"/>
        <v>ordinario_s14_sa</v>
      </c>
      <c r="G203" s="15" t="str">
        <f t="shared" si="44"/>
        <v>"11/07/2026": "ordinario_s14_sa",</v>
      </c>
      <c r="H203" t="str">
        <f t="shared" si="45"/>
        <v/>
      </c>
    </row>
    <row r="204" spans="1:8">
      <c r="A204">
        <f t="shared" si="41"/>
        <v>2026</v>
      </c>
      <c r="B204" t="str">
        <f t="shared" si="42"/>
        <v>do</v>
      </c>
      <c r="C204">
        <f>C203+1</f>
        <v>15</v>
      </c>
      <c r="D204" t="s">
        <v>1496</v>
      </c>
      <c r="E204" s="14">
        <f t="shared" si="32"/>
        <v>46215</v>
      </c>
      <c r="F204" t="str">
        <f t="shared" si="43"/>
        <v>ordinario_s15_do</v>
      </c>
      <c r="G204" s="15" t="str">
        <f t="shared" si="44"/>
        <v>"12/07/2026": "ordinario_s15_do",</v>
      </c>
      <c r="H204" t="str">
        <f t="shared" si="45"/>
        <v>// TIEMPO ORDINARIO SEMANA 15</v>
      </c>
    </row>
    <row r="205" spans="1:8">
      <c r="A205">
        <f t="shared" ref="A205:A216" si="50">YEAR(E205)</f>
        <v>2026</v>
      </c>
      <c r="B205" t="str">
        <f t="shared" ref="B205:B216" si="51">CHOOSE(WEEKDAY(E205), "do", "lu", "ma", "mi", "ju", "vi", "sa")</f>
        <v>lu</v>
      </c>
      <c r="C205">
        <f t="shared" ref="C205:C211" si="52">+C204</f>
        <v>15</v>
      </c>
      <c r="D205" t="s">
        <v>1496</v>
      </c>
      <c r="E205" s="14">
        <f t="shared" ref="E205:E217" si="53">+E206-1</f>
        <v>46216</v>
      </c>
      <c r="F205" t="str">
        <f t="shared" ref="F205:F216" si="54">_xlfn.CONCAT(D205,"_s",C205,"_",B205)</f>
        <v>ordinario_s15_lu</v>
      </c>
      <c r="G205" s="15" t="str">
        <f t="shared" ref="G205:G236" si="55">"""" &amp; TEXT(E205, "dd/mm/yyyy") &amp; """: """ &amp; F205 &amp; ""","</f>
        <v>"13/07/2026": "ordinario_s15_lu",</v>
      </c>
      <c r="H205" t="str">
        <f t="shared" ref="H205:H216" si="56">IF(B205="do", "// TIEMPO " &amp; UPPER(D205) &amp; " SEMANA " &amp; C205, "")</f>
        <v/>
      </c>
    </row>
    <row r="206" spans="1:8">
      <c r="A206">
        <f t="shared" si="50"/>
        <v>2026</v>
      </c>
      <c r="B206" t="str">
        <f t="shared" si="51"/>
        <v>ma</v>
      </c>
      <c r="C206">
        <f t="shared" si="52"/>
        <v>15</v>
      </c>
      <c r="D206" t="s">
        <v>1496</v>
      </c>
      <c r="E206" s="14">
        <f t="shared" si="53"/>
        <v>46217</v>
      </c>
      <c r="F206" t="str">
        <f t="shared" si="54"/>
        <v>ordinario_s15_ma</v>
      </c>
      <c r="G206" s="15" t="str">
        <f t="shared" si="55"/>
        <v>"14/07/2026": "ordinario_s15_ma",</v>
      </c>
      <c r="H206" t="str">
        <f t="shared" si="56"/>
        <v/>
      </c>
    </row>
    <row r="207" spans="1:8">
      <c r="A207">
        <f t="shared" si="50"/>
        <v>2026</v>
      </c>
      <c r="B207" t="str">
        <f t="shared" si="51"/>
        <v>mi</v>
      </c>
      <c r="C207">
        <f t="shared" si="52"/>
        <v>15</v>
      </c>
      <c r="D207" t="s">
        <v>1496</v>
      </c>
      <c r="E207" s="14">
        <f t="shared" si="53"/>
        <v>46218</v>
      </c>
      <c r="F207" t="str">
        <f t="shared" si="54"/>
        <v>ordinario_s15_mi</v>
      </c>
      <c r="G207" s="15" t="str">
        <f t="shared" si="55"/>
        <v>"15/07/2026": "ordinario_s15_mi",</v>
      </c>
      <c r="H207" t="str">
        <f t="shared" si="56"/>
        <v/>
      </c>
    </row>
    <row r="208" spans="1:8">
      <c r="A208">
        <f t="shared" si="50"/>
        <v>2026</v>
      </c>
      <c r="B208" t="str">
        <f t="shared" si="51"/>
        <v>ju</v>
      </c>
      <c r="C208">
        <f t="shared" si="52"/>
        <v>15</v>
      </c>
      <c r="D208" t="s">
        <v>1496</v>
      </c>
      <c r="E208" s="14">
        <f t="shared" si="53"/>
        <v>46219</v>
      </c>
      <c r="F208" t="str">
        <f t="shared" si="54"/>
        <v>ordinario_s15_ju</v>
      </c>
      <c r="G208" s="15" t="str">
        <f t="shared" si="55"/>
        <v>"16/07/2026": "ordinario_s15_ju",</v>
      </c>
      <c r="H208" t="str">
        <f t="shared" si="56"/>
        <v/>
      </c>
    </row>
    <row r="209" spans="1:8">
      <c r="A209">
        <f t="shared" si="50"/>
        <v>2026</v>
      </c>
      <c r="B209" t="str">
        <f t="shared" si="51"/>
        <v>vi</v>
      </c>
      <c r="C209">
        <f t="shared" si="52"/>
        <v>15</v>
      </c>
      <c r="D209" t="s">
        <v>1496</v>
      </c>
      <c r="E209" s="14">
        <f t="shared" si="53"/>
        <v>46220</v>
      </c>
      <c r="F209" t="str">
        <f t="shared" si="54"/>
        <v>ordinario_s15_vi</v>
      </c>
      <c r="G209" s="15" t="str">
        <f t="shared" si="55"/>
        <v>"17/07/2026": "ordinario_s15_vi",</v>
      </c>
      <c r="H209" t="str">
        <f t="shared" si="56"/>
        <v/>
      </c>
    </row>
    <row r="210" spans="1:8">
      <c r="A210">
        <f t="shared" si="50"/>
        <v>2026</v>
      </c>
      <c r="B210" t="str">
        <f t="shared" si="51"/>
        <v>sa</v>
      </c>
      <c r="C210">
        <f t="shared" si="52"/>
        <v>15</v>
      </c>
      <c r="D210" t="s">
        <v>1496</v>
      </c>
      <c r="E210" s="14">
        <f t="shared" si="53"/>
        <v>46221</v>
      </c>
      <c r="F210" t="str">
        <f t="shared" si="54"/>
        <v>ordinario_s15_sa</v>
      </c>
      <c r="G210" s="15" t="str">
        <f t="shared" si="55"/>
        <v>"18/07/2026": "ordinario_s15_sa",</v>
      </c>
      <c r="H210" t="str">
        <f t="shared" si="56"/>
        <v/>
      </c>
    </row>
    <row r="211" spans="1:8">
      <c r="A211">
        <f t="shared" si="50"/>
        <v>2026</v>
      </c>
      <c r="B211" t="str">
        <f t="shared" si="51"/>
        <v>do</v>
      </c>
      <c r="C211">
        <f>C210+1</f>
        <v>16</v>
      </c>
      <c r="D211" t="s">
        <v>1496</v>
      </c>
      <c r="E211" s="14">
        <f t="shared" si="53"/>
        <v>46222</v>
      </c>
      <c r="F211" t="str">
        <f t="shared" si="54"/>
        <v>ordinario_s16_do</v>
      </c>
      <c r="G211" s="15" t="str">
        <f t="shared" si="55"/>
        <v>"19/07/2026": "ordinario_s16_do",</v>
      </c>
      <c r="H211" t="str">
        <f t="shared" si="56"/>
        <v>// TIEMPO ORDINARIO SEMANA 16</v>
      </c>
    </row>
    <row r="212" spans="1:8">
      <c r="A212">
        <f t="shared" si="50"/>
        <v>2026</v>
      </c>
      <c r="B212" t="str">
        <f t="shared" si="51"/>
        <v>lu</v>
      </c>
      <c r="C212">
        <f t="shared" ref="C212:C218" si="57">+C211</f>
        <v>16</v>
      </c>
      <c r="D212" t="s">
        <v>1496</v>
      </c>
      <c r="E212" s="14">
        <f t="shared" si="53"/>
        <v>46223</v>
      </c>
      <c r="F212" t="str">
        <f t="shared" si="54"/>
        <v>ordinario_s16_lu</v>
      </c>
      <c r="G212" s="15" t="str">
        <f t="shared" si="55"/>
        <v>"20/07/2026": "ordinario_s16_lu",</v>
      </c>
      <c r="H212" t="str">
        <f t="shared" si="56"/>
        <v/>
      </c>
    </row>
    <row r="213" spans="1:8">
      <c r="A213">
        <f t="shared" si="50"/>
        <v>2026</v>
      </c>
      <c r="B213" t="str">
        <f t="shared" si="51"/>
        <v>ma</v>
      </c>
      <c r="C213">
        <f t="shared" si="57"/>
        <v>16</v>
      </c>
      <c r="D213" t="s">
        <v>1496</v>
      </c>
      <c r="E213" s="14">
        <f t="shared" si="53"/>
        <v>46224</v>
      </c>
      <c r="F213" t="str">
        <f t="shared" si="54"/>
        <v>ordinario_s16_ma</v>
      </c>
      <c r="G213" s="15" t="str">
        <f t="shared" si="55"/>
        <v>"21/07/2026": "ordinario_s16_ma",</v>
      </c>
      <c r="H213" t="str">
        <f t="shared" si="56"/>
        <v/>
      </c>
    </row>
    <row r="214" spans="1:8">
      <c r="A214">
        <f t="shared" si="50"/>
        <v>2026</v>
      </c>
      <c r="B214" t="str">
        <f t="shared" si="51"/>
        <v>mi</v>
      </c>
      <c r="C214">
        <f t="shared" si="57"/>
        <v>16</v>
      </c>
      <c r="D214" t="s">
        <v>1496</v>
      </c>
      <c r="E214" s="14">
        <f t="shared" si="53"/>
        <v>46225</v>
      </c>
      <c r="F214" t="str">
        <f t="shared" si="54"/>
        <v>ordinario_s16_mi</v>
      </c>
      <c r="G214" s="15" t="str">
        <f t="shared" si="55"/>
        <v>"22/07/2026": "ordinario_s16_mi",</v>
      </c>
      <c r="H214" t="str">
        <f t="shared" si="56"/>
        <v/>
      </c>
    </row>
    <row r="215" spans="1:8">
      <c r="A215">
        <f t="shared" si="50"/>
        <v>2026</v>
      </c>
      <c r="B215" t="str">
        <f t="shared" si="51"/>
        <v>ju</v>
      </c>
      <c r="C215">
        <f t="shared" si="57"/>
        <v>16</v>
      </c>
      <c r="D215" t="s">
        <v>1496</v>
      </c>
      <c r="E215" s="14">
        <f t="shared" si="53"/>
        <v>46226</v>
      </c>
      <c r="F215" t="str">
        <f t="shared" si="54"/>
        <v>ordinario_s16_ju</v>
      </c>
      <c r="G215" s="15" t="str">
        <f t="shared" si="55"/>
        <v>"23/07/2026": "ordinario_s16_ju",</v>
      </c>
      <c r="H215" t="str">
        <f t="shared" si="56"/>
        <v/>
      </c>
    </row>
    <row r="216" spans="1:8">
      <c r="A216">
        <f t="shared" si="50"/>
        <v>2026</v>
      </c>
      <c r="B216" t="str">
        <f t="shared" si="51"/>
        <v>vi</v>
      </c>
      <c r="C216">
        <f t="shared" si="57"/>
        <v>16</v>
      </c>
      <c r="D216" t="s">
        <v>1496</v>
      </c>
      <c r="E216" s="14">
        <f t="shared" si="53"/>
        <v>46227</v>
      </c>
      <c r="F216" t="str">
        <f t="shared" si="54"/>
        <v>ordinario_s16_vi</v>
      </c>
      <c r="G216" s="15" t="str">
        <f t="shared" si="55"/>
        <v>"24/07/2026": "ordinario_s16_vi",</v>
      </c>
      <c r="H216" t="str">
        <f t="shared" si="56"/>
        <v/>
      </c>
    </row>
    <row r="217" spans="1:8">
      <c r="A217">
        <f t="shared" ref="A217:A224" si="58">YEAR(E217)</f>
        <v>2026</v>
      </c>
      <c r="B217" t="str">
        <f t="shared" ref="B217:B224" si="59">CHOOSE(WEEKDAY(E217), "do", "lu", "ma", "mi", "ju", "vi", "sa")</f>
        <v>sa</v>
      </c>
      <c r="C217">
        <f t="shared" si="57"/>
        <v>16</v>
      </c>
      <c r="D217" t="s">
        <v>1496</v>
      </c>
      <c r="E217" s="14">
        <f t="shared" ref="E217:E224" si="60">+E218-1</f>
        <v>46228</v>
      </c>
      <c r="F217" t="str">
        <f t="shared" ref="F217:F224" si="61">_xlfn.CONCAT(D217,"_s",C217,"_",B217)</f>
        <v>ordinario_s16_sa</v>
      </c>
      <c r="G217" s="15" t="str">
        <f t="shared" ref="G217:G224" si="62">"""" &amp; TEXT(E217, "dd/mm/yyyy") &amp; """: """ &amp; F217 &amp; ""","</f>
        <v>"25/07/2026": "ordinario_s16_sa",</v>
      </c>
      <c r="H217" t="str">
        <f t="shared" ref="H217:H280" si="63">IF(B217="do", "// TIEMPO " &amp; UPPER(D217) &amp; " SEMANA " &amp; C217, "")</f>
        <v/>
      </c>
    </row>
    <row r="218" spans="1:8">
      <c r="A218">
        <f t="shared" si="58"/>
        <v>2026</v>
      </c>
      <c r="B218" t="str">
        <f t="shared" si="59"/>
        <v>do</v>
      </c>
      <c r="C218">
        <f>C217+1</f>
        <v>17</v>
      </c>
      <c r="D218" t="s">
        <v>1496</v>
      </c>
      <c r="E218" s="14">
        <f t="shared" si="60"/>
        <v>46229</v>
      </c>
      <c r="F218" t="str">
        <f t="shared" si="61"/>
        <v>ordinario_s17_do</v>
      </c>
      <c r="G218" s="15" t="str">
        <f t="shared" si="62"/>
        <v>"26/07/2026": "ordinario_s17_do",</v>
      </c>
      <c r="H218" t="str">
        <f t="shared" si="63"/>
        <v>// TIEMPO ORDINARIO SEMANA 17</v>
      </c>
    </row>
    <row r="219" spans="1:8">
      <c r="A219">
        <f t="shared" si="58"/>
        <v>2026</v>
      </c>
      <c r="B219" t="str">
        <f t="shared" si="59"/>
        <v>lu</v>
      </c>
      <c r="C219">
        <f t="shared" ref="C219:C225" si="64">+C218</f>
        <v>17</v>
      </c>
      <c r="D219" t="s">
        <v>1496</v>
      </c>
      <c r="E219" s="14">
        <f t="shared" si="60"/>
        <v>46230</v>
      </c>
      <c r="F219" t="str">
        <f t="shared" si="61"/>
        <v>ordinario_s17_lu</v>
      </c>
      <c r="G219" s="15" t="str">
        <f t="shared" si="62"/>
        <v>"27/07/2026": "ordinario_s17_lu",</v>
      </c>
      <c r="H219" t="str">
        <f t="shared" si="63"/>
        <v/>
      </c>
    </row>
    <row r="220" spans="1:8">
      <c r="A220">
        <f t="shared" si="58"/>
        <v>2026</v>
      </c>
      <c r="B220" t="str">
        <f t="shared" si="59"/>
        <v>ma</v>
      </c>
      <c r="C220">
        <f t="shared" si="64"/>
        <v>17</v>
      </c>
      <c r="D220" t="s">
        <v>1496</v>
      </c>
      <c r="E220" s="14">
        <f t="shared" si="60"/>
        <v>46231</v>
      </c>
      <c r="F220" t="str">
        <f t="shared" si="61"/>
        <v>ordinario_s17_ma</v>
      </c>
      <c r="G220" s="15" t="str">
        <f t="shared" si="62"/>
        <v>"28/07/2026": "ordinario_s17_ma",</v>
      </c>
      <c r="H220" t="str">
        <f t="shared" si="63"/>
        <v/>
      </c>
    </row>
    <row r="221" spans="1:8">
      <c r="A221">
        <f t="shared" si="58"/>
        <v>2026</v>
      </c>
      <c r="B221" t="str">
        <f t="shared" si="59"/>
        <v>mi</v>
      </c>
      <c r="C221">
        <f t="shared" si="64"/>
        <v>17</v>
      </c>
      <c r="D221" t="s">
        <v>1496</v>
      </c>
      <c r="E221" s="14">
        <f t="shared" si="60"/>
        <v>46232</v>
      </c>
      <c r="F221" t="str">
        <f t="shared" si="61"/>
        <v>ordinario_s17_mi</v>
      </c>
      <c r="G221" s="15" t="str">
        <f t="shared" si="62"/>
        <v>"29/07/2026": "ordinario_s17_mi",</v>
      </c>
      <c r="H221" t="str">
        <f t="shared" si="63"/>
        <v/>
      </c>
    </row>
    <row r="222" spans="1:8">
      <c r="A222">
        <f t="shared" si="58"/>
        <v>2026</v>
      </c>
      <c r="B222" t="str">
        <f t="shared" si="59"/>
        <v>ju</v>
      </c>
      <c r="C222">
        <f t="shared" si="64"/>
        <v>17</v>
      </c>
      <c r="D222" t="s">
        <v>1496</v>
      </c>
      <c r="E222" s="14">
        <f t="shared" si="60"/>
        <v>46233</v>
      </c>
      <c r="F222" t="str">
        <f t="shared" si="61"/>
        <v>ordinario_s17_ju</v>
      </c>
      <c r="G222" s="15" t="str">
        <f t="shared" si="62"/>
        <v>"30/07/2026": "ordinario_s17_ju",</v>
      </c>
      <c r="H222" t="str">
        <f t="shared" si="63"/>
        <v/>
      </c>
    </row>
    <row r="223" spans="1:8">
      <c r="A223">
        <f t="shared" si="58"/>
        <v>2026</v>
      </c>
      <c r="B223" t="str">
        <f t="shared" si="59"/>
        <v>vi</v>
      </c>
      <c r="C223">
        <f t="shared" si="64"/>
        <v>17</v>
      </c>
      <c r="D223" t="s">
        <v>1496</v>
      </c>
      <c r="E223" s="14">
        <f t="shared" si="60"/>
        <v>46234</v>
      </c>
      <c r="F223" t="str">
        <f t="shared" si="61"/>
        <v>ordinario_s17_vi</v>
      </c>
      <c r="G223" s="15" t="str">
        <f t="shared" si="62"/>
        <v>"31/07/2026": "ordinario_s17_vi",</v>
      </c>
      <c r="H223" t="str">
        <f t="shared" si="63"/>
        <v/>
      </c>
    </row>
    <row r="224" spans="1:8">
      <c r="A224">
        <f t="shared" si="58"/>
        <v>2026</v>
      </c>
      <c r="B224" t="str">
        <f t="shared" si="59"/>
        <v>sa</v>
      </c>
      <c r="C224">
        <f t="shared" si="64"/>
        <v>17</v>
      </c>
      <c r="D224" t="s">
        <v>1496</v>
      </c>
      <c r="E224" s="14">
        <f>+E225-1</f>
        <v>46235</v>
      </c>
      <c r="F224" t="str">
        <f t="shared" si="61"/>
        <v>ordinario_s17_sa</v>
      </c>
      <c r="G224" s="15" t="str">
        <f t="shared" si="62"/>
        <v>"01/08/2026": "ordinario_s17_sa",</v>
      </c>
      <c r="H224" t="str">
        <f t="shared" si="63"/>
        <v/>
      </c>
    </row>
    <row r="225" spans="1:11">
      <c r="A225">
        <f t="shared" ref="A225:A288" si="65">YEAR(E225)</f>
        <v>2026</v>
      </c>
      <c r="B225" t="str">
        <f t="shared" ref="B225:B288" si="66">CHOOSE(WEEKDAY(E225), "do", "lu", "ma", "mi", "ju", "vi", "sa")</f>
        <v>do</v>
      </c>
      <c r="C225">
        <f>C224+1</f>
        <v>18</v>
      </c>
      <c r="D225" t="s">
        <v>1496</v>
      </c>
      <c r="E225" s="14">
        <v>46236</v>
      </c>
      <c r="F225" t="str">
        <f>_xlfn.CONCAT(D225,"_s",C225,"_",B225)</f>
        <v>ordinario_s18_do</v>
      </c>
      <c r="G225" s="15" t="str">
        <f>"""" &amp; TEXT(E225, "dd/mm/yyyy") &amp; """: """ &amp; F225 &amp; ""","</f>
        <v>"02/08/2026": "ordinario_s18_do",</v>
      </c>
      <c r="H225" t="str">
        <f t="shared" si="63"/>
        <v>// TIEMPO ORDINARIO SEMANA 18</v>
      </c>
      <c r="K225" s="14"/>
    </row>
    <row r="226" spans="1:11">
      <c r="A226">
        <f t="shared" si="65"/>
        <v>2026</v>
      </c>
      <c r="B226" t="str">
        <f t="shared" si="66"/>
        <v>lu</v>
      </c>
      <c r="C226">
        <f t="shared" ref="C226:C232" si="67">+C225</f>
        <v>18</v>
      </c>
      <c r="D226" t="s">
        <v>1496</v>
      </c>
      <c r="E226" s="14">
        <v>46237</v>
      </c>
      <c r="F226" t="str">
        <f t="shared" ref="F226:F289" si="68">_xlfn.CONCAT(D226,"_s",C226,"_",B226)</f>
        <v>ordinario_s18_lu</v>
      </c>
      <c r="G226" s="15" t="str">
        <f t="shared" ref="G226:G289" si="69">"""" &amp; TEXT(E226, "dd/mm/yyyy") &amp; """: """ &amp; F226 &amp; ""","</f>
        <v>"03/08/2026": "ordinario_s18_lu",</v>
      </c>
      <c r="H226" t="str">
        <f t="shared" si="63"/>
        <v/>
      </c>
      <c r="K226" s="14"/>
    </row>
    <row r="227" spans="1:11">
      <c r="A227">
        <f t="shared" si="65"/>
        <v>2026</v>
      </c>
      <c r="B227" t="str">
        <f t="shared" si="66"/>
        <v>ma</v>
      </c>
      <c r="C227">
        <f t="shared" si="67"/>
        <v>18</v>
      </c>
      <c r="D227" t="s">
        <v>1496</v>
      </c>
      <c r="E227" s="14">
        <v>46238</v>
      </c>
      <c r="F227" t="str">
        <f t="shared" si="68"/>
        <v>ordinario_s18_ma</v>
      </c>
      <c r="G227" s="15" t="str">
        <f t="shared" si="69"/>
        <v>"04/08/2026": "ordinario_s18_ma",</v>
      </c>
      <c r="H227" t="str">
        <f t="shared" si="63"/>
        <v/>
      </c>
      <c r="K227" s="14"/>
    </row>
    <row r="228" spans="1:11">
      <c r="A228">
        <f t="shared" si="65"/>
        <v>2026</v>
      </c>
      <c r="B228" t="str">
        <f t="shared" si="66"/>
        <v>mi</v>
      </c>
      <c r="C228">
        <f t="shared" si="67"/>
        <v>18</v>
      </c>
      <c r="D228" t="s">
        <v>1496</v>
      </c>
      <c r="E228" s="14">
        <v>46239</v>
      </c>
      <c r="F228" t="str">
        <f t="shared" si="68"/>
        <v>ordinario_s18_mi</v>
      </c>
      <c r="G228" s="15" t="str">
        <f t="shared" si="69"/>
        <v>"05/08/2026": "ordinario_s18_mi",</v>
      </c>
      <c r="H228" t="str">
        <f t="shared" si="63"/>
        <v/>
      </c>
      <c r="K228" s="14"/>
    </row>
    <row r="229" spans="1:11">
      <c r="A229">
        <f t="shared" si="65"/>
        <v>2026</v>
      </c>
      <c r="B229" t="str">
        <f t="shared" si="66"/>
        <v>ju</v>
      </c>
      <c r="C229">
        <f t="shared" si="67"/>
        <v>18</v>
      </c>
      <c r="D229" t="s">
        <v>1496</v>
      </c>
      <c r="E229" s="14">
        <v>46240</v>
      </c>
      <c r="F229" t="str">
        <f t="shared" si="68"/>
        <v>ordinario_s18_ju</v>
      </c>
      <c r="G229" s="15" t="str">
        <f t="shared" si="69"/>
        <v>"06/08/2026": "ordinario_s18_ju",</v>
      </c>
      <c r="H229" t="str">
        <f t="shared" si="63"/>
        <v/>
      </c>
      <c r="K229" s="14"/>
    </row>
    <row r="230" spans="1:11">
      <c r="A230">
        <f t="shared" si="65"/>
        <v>2026</v>
      </c>
      <c r="B230" t="str">
        <f t="shared" si="66"/>
        <v>vi</v>
      </c>
      <c r="C230">
        <f t="shared" si="67"/>
        <v>18</v>
      </c>
      <c r="D230" t="s">
        <v>1496</v>
      </c>
      <c r="E230" s="14">
        <v>46241</v>
      </c>
      <c r="F230" t="str">
        <f t="shared" si="68"/>
        <v>ordinario_s18_vi</v>
      </c>
      <c r="G230" s="15" t="str">
        <f t="shared" si="69"/>
        <v>"07/08/2026": "ordinario_s18_vi",</v>
      </c>
      <c r="H230" t="str">
        <f t="shared" si="63"/>
        <v/>
      </c>
      <c r="K230" s="14"/>
    </row>
    <row r="231" spans="1:11">
      <c r="A231">
        <f t="shared" si="65"/>
        <v>2026</v>
      </c>
      <c r="B231" t="str">
        <f t="shared" si="66"/>
        <v>sa</v>
      </c>
      <c r="C231">
        <f t="shared" si="67"/>
        <v>18</v>
      </c>
      <c r="D231" t="s">
        <v>1496</v>
      </c>
      <c r="E231" s="14">
        <v>46242</v>
      </c>
      <c r="F231" t="str">
        <f t="shared" si="68"/>
        <v>ordinario_s18_sa</v>
      </c>
      <c r="G231" s="15" t="str">
        <f t="shared" si="69"/>
        <v>"08/08/2026": "ordinario_s18_sa",</v>
      </c>
      <c r="H231" t="str">
        <f t="shared" si="63"/>
        <v/>
      </c>
      <c r="K231" s="14"/>
    </row>
    <row r="232" spans="1:11">
      <c r="A232">
        <f t="shared" si="65"/>
        <v>2026</v>
      </c>
      <c r="B232" t="str">
        <f t="shared" si="66"/>
        <v>do</v>
      </c>
      <c r="C232">
        <f>C231+1</f>
        <v>19</v>
      </c>
      <c r="D232" t="s">
        <v>1496</v>
      </c>
      <c r="E232" s="14">
        <v>46243</v>
      </c>
      <c r="F232" t="str">
        <f t="shared" si="68"/>
        <v>ordinario_s19_do</v>
      </c>
      <c r="G232" s="15" t="str">
        <f t="shared" si="69"/>
        <v>"09/08/2026": "ordinario_s19_do",</v>
      </c>
      <c r="H232" t="str">
        <f t="shared" si="63"/>
        <v>// TIEMPO ORDINARIO SEMANA 19</v>
      </c>
      <c r="K232" s="14"/>
    </row>
    <row r="233" spans="1:11">
      <c r="A233">
        <f t="shared" si="65"/>
        <v>2026</v>
      </c>
      <c r="B233" t="str">
        <f t="shared" si="66"/>
        <v>lu</v>
      </c>
      <c r="C233">
        <f t="shared" ref="C233:C239" si="70">+C232</f>
        <v>19</v>
      </c>
      <c r="D233" t="s">
        <v>1496</v>
      </c>
      <c r="E233" s="14">
        <v>46244</v>
      </c>
      <c r="F233" t="str">
        <f t="shared" si="68"/>
        <v>ordinario_s19_lu</v>
      </c>
      <c r="G233" s="15" t="str">
        <f t="shared" si="69"/>
        <v>"10/08/2026": "ordinario_s19_lu",</v>
      </c>
      <c r="H233" t="str">
        <f t="shared" si="63"/>
        <v/>
      </c>
      <c r="K233" s="14"/>
    </row>
    <row r="234" spans="1:11">
      <c r="A234">
        <f t="shared" si="65"/>
        <v>2026</v>
      </c>
      <c r="B234" t="str">
        <f t="shared" si="66"/>
        <v>ma</v>
      </c>
      <c r="C234">
        <f t="shared" si="70"/>
        <v>19</v>
      </c>
      <c r="D234" t="s">
        <v>1496</v>
      </c>
      <c r="E234" s="14">
        <v>46245</v>
      </c>
      <c r="F234" t="str">
        <f t="shared" si="68"/>
        <v>ordinario_s19_ma</v>
      </c>
      <c r="G234" s="15" t="str">
        <f t="shared" si="69"/>
        <v>"11/08/2026": "ordinario_s19_ma",</v>
      </c>
      <c r="H234" t="str">
        <f t="shared" si="63"/>
        <v/>
      </c>
      <c r="K234" s="14"/>
    </row>
    <row r="235" spans="1:11">
      <c r="A235">
        <f t="shared" si="65"/>
        <v>2026</v>
      </c>
      <c r="B235" t="str">
        <f t="shared" si="66"/>
        <v>mi</v>
      </c>
      <c r="C235">
        <f t="shared" si="70"/>
        <v>19</v>
      </c>
      <c r="D235" t="s">
        <v>1496</v>
      </c>
      <c r="E235" s="14">
        <v>46246</v>
      </c>
      <c r="F235" t="str">
        <f t="shared" si="68"/>
        <v>ordinario_s19_mi</v>
      </c>
      <c r="G235" s="15" t="str">
        <f t="shared" si="69"/>
        <v>"12/08/2026": "ordinario_s19_mi",</v>
      </c>
      <c r="H235" t="str">
        <f t="shared" si="63"/>
        <v/>
      </c>
      <c r="K235" s="14"/>
    </row>
    <row r="236" spans="1:11">
      <c r="A236">
        <f t="shared" si="65"/>
        <v>2026</v>
      </c>
      <c r="B236" t="str">
        <f t="shared" si="66"/>
        <v>ju</v>
      </c>
      <c r="C236">
        <f t="shared" si="70"/>
        <v>19</v>
      </c>
      <c r="D236" t="s">
        <v>1496</v>
      </c>
      <c r="E236" s="14">
        <v>46247</v>
      </c>
      <c r="F236" t="str">
        <f t="shared" si="68"/>
        <v>ordinario_s19_ju</v>
      </c>
      <c r="G236" s="15" t="str">
        <f t="shared" si="69"/>
        <v>"13/08/2026": "ordinario_s19_ju",</v>
      </c>
      <c r="H236" t="str">
        <f t="shared" si="63"/>
        <v/>
      </c>
      <c r="K236" s="14"/>
    </row>
    <row r="237" spans="1:11">
      <c r="A237">
        <f t="shared" si="65"/>
        <v>2026</v>
      </c>
      <c r="B237" t="str">
        <f t="shared" si="66"/>
        <v>vi</v>
      </c>
      <c r="C237">
        <f t="shared" si="70"/>
        <v>19</v>
      </c>
      <c r="D237" t="s">
        <v>1496</v>
      </c>
      <c r="E237" s="14">
        <v>46248</v>
      </c>
      <c r="F237" t="str">
        <f t="shared" si="68"/>
        <v>ordinario_s19_vi</v>
      </c>
      <c r="G237" s="15" t="str">
        <f t="shared" si="69"/>
        <v>"14/08/2026": "ordinario_s19_vi",</v>
      </c>
      <c r="H237" t="str">
        <f t="shared" si="63"/>
        <v/>
      </c>
      <c r="K237" s="14"/>
    </row>
    <row r="238" spans="1:11">
      <c r="A238">
        <f t="shared" si="65"/>
        <v>2026</v>
      </c>
      <c r="B238" t="str">
        <f t="shared" si="66"/>
        <v>sa</v>
      </c>
      <c r="C238">
        <f t="shared" si="70"/>
        <v>19</v>
      </c>
      <c r="D238" t="s">
        <v>1496</v>
      </c>
      <c r="E238" s="14">
        <v>46249</v>
      </c>
      <c r="F238" t="str">
        <f t="shared" si="68"/>
        <v>ordinario_s19_sa</v>
      </c>
      <c r="G238" s="15" t="str">
        <f t="shared" si="69"/>
        <v>"15/08/2026": "ordinario_s19_sa",</v>
      </c>
      <c r="H238" t="str">
        <f t="shared" si="63"/>
        <v/>
      </c>
      <c r="K238" s="14"/>
    </row>
    <row r="239" spans="1:11">
      <c r="A239">
        <f t="shared" si="65"/>
        <v>2026</v>
      </c>
      <c r="B239" t="str">
        <f t="shared" si="66"/>
        <v>do</v>
      </c>
      <c r="C239">
        <f>C238+1</f>
        <v>20</v>
      </c>
      <c r="D239" t="s">
        <v>1496</v>
      </c>
      <c r="E239" s="14">
        <v>46250</v>
      </c>
      <c r="F239" t="str">
        <f t="shared" si="68"/>
        <v>ordinario_s20_do</v>
      </c>
      <c r="G239" s="15" t="str">
        <f t="shared" si="69"/>
        <v>"16/08/2026": "ordinario_s20_do",</v>
      </c>
      <c r="H239" t="str">
        <f t="shared" si="63"/>
        <v>// TIEMPO ORDINARIO SEMANA 20</v>
      </c>
      <c r="K239" s="14"/>
    </row>
    <row r="240" spans="1:11">
      <c r="A240">
        <f t="shared" si="65"/>
        <v>2026</v>
      </c>
      <c r="B240" t="str">
        <f t="shared" si="66"/>
        <v>lu</v>
      </c>
      <c r="C240">
        <f t="shared" ref="C240:C246" si="71">+C239</f>
        <v>20</v>
      </c>
      <c r="D240" t="s">
        <v>1496</v>
      </c>
      <c r="E240" s="14">
        <v>46251</v>
      </c>
      <c r="F240" t="str">
        <f t="shared" si="68"/>
        <v>ordinario_s20_lu</v>
      </c>
      <c r="G240" s="15" t="str">
        <f t="shared" si="69"/>
        <v>"17/08/2026": "ordinario_s20_lu",</v>
      </c>
      <c r="H240" t="str">
        <f t="shared" si="63"/>
        <v/>
      </c>
      <c r="K240" s="14"/>
    </row>
    <row r="241" spans="1:11">
      <c r="A241">
        <f t="shared" si="65"/>
        <v>2026</v>
      </c>
      <c r="B241" t="str">
        <f t="shared" si="66"/>
        <v>ma</v>
      </c>
      <c r="C241">
        <f t="shared" si="71"/>
        <v>20</v>
      </c>
      <c r="D241" t="s">
        <v>1496</v>
      </c>
      <c r="E241" s="14">
        <v>46252</v>
      </c>
      <c r="F241" t="str">
        <f t="shared" si="68"/>
        <v>ordinario_s20_ma</v>
      </c>
      <c r="G241" s="15" t="str">
        <f t="shared" si="69"/>
        <v>"18/08/2026": "ordinario_s20_ma",</v>
      </c>
      <c r="H241" t="str">
        <f t="shared" si="63"/>
        <v/>
      </c>
      <c r="K241" s="14"/>
    </row>
    <row r="242" spans="1:11">
      <c r="A242">
        <f t="shared" si="65"/>
        <v>2026</v>
      </c>
      <c r="B242" t="str">
        <f t="shared" si="66"/>
        <v>mi</v>
      </c>
      <c r="C242">
        <f t="shared" si="71"/>
        <v>20</v>
      </c>
      <c r="D242" t="s">
        <v>1496</v>
      </c>
      <c r="E242" s="14">
        <v>46253</v>
      </c>
      <c r="F242" t="str">
        <f t="shared" si="68"/>
        <v>ordinario_s20_mi</v>
      </c>
      <c r="G242" s="15" t="str">
        <f t="shared" si="69"/>
        <v>"19/08/2026": "ordinario_s20_mi",</v>
      </c>
      <c r="H242" t="str">
        <f t="shared" si="63"/>
        <v/>
      </c>
      <c r="K242" s="14"/>
    </row>
    <row r="243" spans="1:11">
      <c r="A243">
        <f t="shared" si="65"/>
        <v>2026</v>
      </c>
      <c r="B243" t="str">
        <f t="shared" si="66"/>
        <v>ju</v>
      </c>
      <c r="C243">
        <f t="shared" si="71"/>
        <v>20</v>
      </c>
      <c r="D243" t="s">
        <v>1496</v>
      </c>
      <c r="E243" s="14">
        <v>46254</v>
      </c>
      <c r="F243" t="str">
        <f t="shared" si="68"/>
        <v>ordinario_s20_ju</v>
      </c>
      <c r="G243" s="15" t="str">
        <f t="shared" si="69"/>
        <v>"20/08/2026": "ordinario_s20_ju",</v>
      </c>
      <c r="H243" t="str">
        <f t="shared" si="63"/>
        <v/>
      </c>
      <c r="K243" s="14"/>
    </row>
    <row r="244" spans="1:11">
      <c r="A244">
        <f t="shared" si="65"/>
        <v>2026</v>
      </c>
      <c r="B244" t="str">
        <f t="shared" si="66"/>
        <v>vi</v>
      </c>
      <c r="C244">
        <f t="shared" si="71"/>
        <v>20</v>
      </c>
      <c r="D244" t="s">
        <v>1496</v>
      </c>
      <c r="E244" s="14">
        <v>46255</v>
      </c>
      <c r="F244" t="str">
        <f t="shared" si="68"/>
        <v>ordinario_s20_vi</v>
      </c>
      <c r="G244" s="15" t="str">
        <f t="shared" si="69"/>
        <v>"21/08/2026": "ordinario_s20_vi",</v>
      </c>
      <c r="H244" t="str">
        <f t="shared" si="63"/>
        <v/>
      </c>
      <c r="K244" s="14"/>
    </row>
    <row r="245" spans="1:11">
      <c r="A245">
        <f t="shared" si="65"/>
        <v>2026</v>
      </c>
      <c r="B245" t="str">
        <f t="shared" si="66"/>
        <v>sa</v>
      </c>
      <c r="C245">
        <f t="shared" si="71"/>
        <v>20</v>
      </c>
      <c r="D245" t="s">
        <v>1496</v>
      </c>
      <c r="E245" s="14">
        <v>46256</v>
      </c>
      <c r="F245" t="str">
        <f t="shared" si="68"/>
        <v>ordinario_s20_sa</v>
      </c>
      <c r="G245" s="15" t="str">
        <f t="shared" si="69"/>
        <v>"22/08/2026": "ordinario_s20_sa",</v>
      </c>
      <c r="H245" t="str">
        <f t="shared" si="63"/>
        <v/>
      </c>
      <c r="K245" s="14"/>
    </row>
    <row r="246" spans="1:11">
      <c r="A246">
        <f t="shared" si="65"/>
        <v>2026</v>
      </c>
      <c r="B246" t="str">
        <f t="shared" si="66"/>
        <v>do</v>
      </c>
      <c r="C246">
        <f>C245+1</f>
        <v>21</v>
      </c>
      <c r="D246" t="s">
        <v>1496</v>
      </c>
      <c r="E246" s="14">
        <v>46257</v>
      </c>
      <c r="F246" t="str">
        <f t="shared" si="68"/>
        <v>ordinario_s21_do</v>
      </c>
      <c r="G246" s="15" t="str">
        <f t="shared" si="69"/>
        <v>"23/08/2026": "ordinario_s21_do",</v>
      </c>
      <c r="H246" t="str">
        <f t="shared" si="63"/>
        <v>// TIEMPO ORDINARIO SEMANA 21</v>
      </c>
      <c r="K246" s="14"/>
    </row>
    <row r="247" spans="1:11">
      <c r="A247">
        <f t="shared" si="65"/>
        <v>2026</v>
      </c>
      <c r="B247" t="str">
        <f t="shared" si="66"/>
        <v>lu</v>
      </c>
      <c r="C247">
        <f t="shared" ref="C247:C253" si="72">+C246</f>
        <v>21</v>
      </c>
      <c r="D247" t="s">
        <v>1496</v>
      </c>
      <c r="E247" s="14">
        <v>46258</v>
      </c>
      <c r="F247" t="str">
        <f t="shared" si="68"/>
        <v>ordinario_s21_lu</v>
      </c>
      <c r="G247" s="15" t="str">
        <f t="shared" si="69"/>
        <v>"24/08/2026": "ordinario_s21_lu",</v>
      </c>
      <c r="H247" t="str">
        <f t="shared" si="63"/>
        <v/>
      </c>
      <c r="K247" s="14"/>
    </row>
    <row r="248" spans="1:11">
      <c r="A248">
        <f t="shared" si="65"/>
        <v>2026</v>
      </c>
      <c r="B248" t="str">
        <f t="shared" si="66"/>
        <v>ma</v>
      </c>
      <c r="C248">
        <f t="shared" si="72"/>
        <v>21</v>
      </c>
      <c r="D248" t="s">
        <v>1496</v>
      </c>
      <c r="E248" s="14">
        <v>46259</v>
      </c>
      <c r="F248" t="str">
        <f t="shared" si="68"/>
        <v>ordinario_s21_ma</v>
      </c>
      <c r="G248" s="15" t="str">
        <f t="shared" si="69"/>
        <v>"25/08/2026": "ordinario_s21_ma",</v>
      </c>
      <c r="H248" t="str">
        <f t="shared" si="63"/>
        <v/>
      </c>
      <c r="K248" s="14"/>
    </row>
    <row r="249" spans="1:11">
      <c r="A249">
        <f t="shared" si="65"/>
        <v>2026</v>
      </c>
      <c r="B249" t="str">
        <f t="shared" si="66"/>
        <v>mi</v>
      </c>
      <c r="C249">
        <f t="shared" si="72"/>
        <v>21</v>
      </c>
      <c r="D249" t="s">
        <v>1496</v>
      </c>
      <c r="E249" s="14">
        <v>46260</v>
      </c>
      <c r="F249" t="str">
        <f t="shared" si="68"/>
        <v>ordinario_s21_mi</v>
      </c>
      <c r="G249" s="15" t="str">
        <f t="shared" si="69"/>
        <v>"26/08/2026": "ordinario_s21_mi",</v>
      </c>
      <c r="H249" t="str">
        <f t="shared" si="63"/>
        <v/>
      </c>
      <c r="K249" s="14"/>
    </row>
    <row r="250" spans="1:11">
      <c r="A250">
        <f t="shared" si="65"/>
        <v>2026</v>
      </c>
      <c r="B250" t="str">
        <f t="shared" si="66"/>
        <v>ju</v>
      </c>
      <c r="C250">
        <f t="shared" si="72"/>
        <v>21</v>
      </c>
      <c r="D250" t="s">
        <v>1496</v>
      </c>
      <c r="E250" s="14">
        <v>46261</v>
      </c>
      <c r="F250" t="str">
        <f t="shared" si="68"/>
        <v>ordinario_s21_ju</v>
      </c>
      <c r="G250" s="15" t="str">
        <f t="shared" si="69"/>
        <v>"27/08/2026": "ordinario_s21_ju",</v>
      </c>
      <c r="H250" t="str">
        <f t="shared" si="63"/>
        <v/>
      </c>
      <c r="K250" s="14"/>
    </row>
    <row r="251" spans="1:11">
      <c r="A251">
        <f t="shared" si="65"/>
        <v>2026</v>
      </c>
      <c r="B251" t="str">
        <f t="shared" si="66"/>
        <v>vi</v>
      </c>
      <c r="C251">
        <f t="shared" si="72"/>
        <v>21</v>
      </c>
      <c r="D251" t="s">
        <v>1496</v>
      </c>
      <c r="E251" s="14">
        <v>46262</v>
      </c>
      <c r="F251" t="str">
        <f t="shared" si="68"/>
        <v>ordinario_s21_vi</v>
      </c>
      <c r="G251" s="15" t="str">
        <f t="shared" si="69"/>
        <v>"28/08/2026": "ordinario_s21_vi",</v>
      </c>
      <c r="H251" t="str">
        <f t="shared" si="63"/>
        <v/>
      </c>
      <c r="K251" s="14"/>
    </row>
    <row r="252" spans="1:11">
      <c r="A252">
        <f t="shared" si="65"/>
        <v>2026</v>
      </c>
      <c r="B252" t="str">
        <f t="shared" si="66"/>
        <v>sa</v>
      </c>
      <c r="C252">
        <f t="shared" si="72"/>
        <v>21</v>
      </c>
      <c r="D252" t="s">
        <v>1496</v>
      </c>
      <c r="E252" s="14">
        <v>46263</v>
      </c>
      <c r="F252" t="str">
        <f t="shared" si="68"/>
        <v>ordinario_s21_sa</v>
      </c>
      <c r="G252" s="15" t="str">
        <f t="shared" si="69"/>
        <v>"29/08/2026": "ordinario_s21_sa",</v>
      </c>
      <c r="H252" t="str">
        <f t="shared" si="63"/>
        <v/>
      </c>
      <c r="K252" s="14"/>
    </row>
    <row r="253" spans="1:11">
      <c r="A253">
        <f t="shared" si="65"/>
        <v>2026</v>
      </c>
      <c r="B253" t="str">
        <f t="shared" si="66"/>
        <v>do</v>
      </c>
      <c r="C253">
        <f>C252+1</f>
        <v>22</v>
      </c>
      <c r="D253" t="s">
        <v>1496</v>
      </c>
      <c r="E253" s="14">
        <v>46264</v>
      </c>
      <c r="F253" t="str">
        <f t="shared" si="68"/>
        <v>ordinario_s22_do</v>
      </c>
      <c r="G253" s="15" t="str">
        <f t="shared" si="69"/>
        <v>"30/08/2026": "ordinario_s22_do",</v>
      </c>
      <c r="H253" t="str">
        <f t="shared" si="63"/>
        <v>// TIEMPO ORDINARIO SEMANA 22</v>
      </c>
      <c r="K253" s="14"/>
    </row>
    <row r="254" spans="1:11">
      <c r="A254">
        <f t="shared" si="65"/>
        <v>2026</v>
      </c>
      <c r="B254" t="str">
        <f t="shared" si="66"/>
        <v>lu</v>
      </c>
      <c r="C254">
        <f t="shared" ref="C254:C260" si="73">+C253</f>
        <v>22</v>
      </c>
      <c r="D254" t="s">
        <v>1496</v>
      </c>
      <c r="E254" s="14">
        <v>46265</v>
      </c>
      <c r="F254" t="str">
        <f t="shared" si="68"/>
        <v>ordinario_s22_lu</v>
      </c>
      <c r="G254" s="15" t="str">
        <f t="shared" si="69"/>
        <v>"31/08/2026": "ordinario_s22_lu",</v>
      </c>
      <c r="H254" t="str">
        <f t="shared" si="63"/>
        <v/>
      </c>
      <c r="K254" s="14"/>
    </row>
    <row r="255" spans="1:11">
      <c r="A255">
        <f t="shared" si="65"/>
        <v>2026</v>
      </c>
      <c r="B255" t="str">
        <f t="shared" si="66"/>
        <v>ma</v>
      </c>
      <c r="C255">
        <f t="shared" si="73"/>
        <v>22</v>
      </c>
      <c r="D255" t="s">
        <v>1496</v>
      </c>
      <c r="E255" s="14">
        <v>46266</v>
      </c>
      <c r="F255" t="str">
        <f t="shared" si="68"/>
        <v>ordinario_s22_ma</v>
      </c>
      <c r="G255" s="15" t="str">
        <f t="shared" si="69"/>
        <v>"01/09/2026": "ordinario_s22_ma",</v>
      </c>
      <c r="H255" t="str">
        <f t="shared" si="63"/>
        <v/>
      </c>
      <c r="K255" s="14"/>
    </row>
    <row r="256" spans="1:11">
      <c r="A256">
        <f t="shared" si="65"/>
        <v>2026</v>
      </c>
      <c r="B256" t="str">
        <f t="shared" si="66"/>
        <v>mi</v>
      </c>
      <c r="C256">
        <f t="shared" si="73"/>
        <v>22</v>
      </c>
      <c r="D256" t="s">
        <v>1496</v>
      </c>
      <c r="E256" s="14">
        <v>46267</v>
      </c>
      <c r="F256" t="str">
        <f t="shared" si="68"/>
        <v>ordinario_s22_mi</v>
      </c>
      <c r="G256" s="15" t="str">
        <f t="shared" si="69"/>
        <v>"02/09/2026": "ordinario_s22_mi",</v>
      </c>
      <c r="H256" t="str">
        <f t="shared" si="63"/>
        <v/>
      </c>
      <c r="K256" s="14"/>
    </row>
    <row r="257" spans="1:11">
      <c r="A257">
        <f t="shared" si="65"/>
        <v>2026</v>
      </c>
      <c r="B257" t="str">
        <f t="shared" si="66"/>
        <v>ju</v>
      </c>
      <c r="C257">
        <f t="shared" si="73"/>
        <v>22</v>
      </c>
      <c r="D257" t="s">
        <v>1496</v>
      </c>
      <c r="E257" s="14">
        <v>46268</v>
      </c>
      <c r="F257" t="str">
        <f t="shared" si="68"/>
        <v>ordinario_s22_ju</v>
      </c>
      <c r="G257" s="15" t="str">
        <f t="shared" si="69"/>
        <v>"03/09/2026": "ordinario_s22_ju",</v>
      </c>
      <c r="H257" t="str">
        <f t="shared" si="63"/>
        <v/>
      </c>
      <c r="K257" s="14"/>
    </row>
    <row r="258" spans="1:11">
      <c r="A258">
        <f t="shared" si="65"/>
        <v>2026</v>
      </c>
      <c r="B258" t="str">
        <f t="shared" si="66"/>
        <v>vi</v>
      </c>
      <c r="C258">
        <f t="shared" si="73"/>
        <v>22</v>
      </c>
      <c r="D258" t="s">
        <v>1496</v>
      </c>
      <c r="E258" s="14">
        <v>46269</v>
      </c>
      <c r="F258" t="str">
        <f t="shared" si="68"/>
        <v>ordinario_s22_vi</v>
      </c>
      <c r="G258" s="15" t="str">
        <f t="shared" si="69"/>
        <v>"04/09/2026": "ordinario_s22_vi",</v>
      </c>
      <c r="H258" t="str">
        <f t="shared" si="63"/>
        <v/>
      </c>
      <c r="K258" s="14"/>
    </row>
    <row r="259" spans="1:11">
      <c r="A259">
        <f t="shared" si="65"/>
        <v>2026</v>
      </c>
      <c r="B259" t="str">
        <f t="shared" si="66"/>
        <v>sa</v>
      </c>
      <c r="C259">
        <f t="shared" si="73"/>
        <v>22</v>
      </c>
      <c r="D259" t="s">
        <v>1496</v>
      </c>
      <c r="E259" s="14">
        <v>46270</v>
      </c>
      <c r="F259" t="str">
        <f t="shared" si="68"/>
        <v>ordinario_s22_sa</v>
      </c>
      <c r="G259" s="15" t="str">
        <f t="shared" si="69"/>
        <v>"05/09/2026": "ordinario_s22_sa",</v>
      </c>
      <c r="H259" t="str">
        <f t="shared" si="63"/>
        <v/>
      </c>
      <c r="K259" s="14"/>
    </row>
    <row r="260" spans="1:11">
      <c r="A260">
        <f t="shared" si="65"/>
        <v>2026</v>
      </c>
      <c r="B260" t="str">
        <f t="shared" si="66"/>
        <v>do</v>
      </c>
      <c r="C260">
        <f>C259+1</f>
        <v>23</v>
      </c>
      <c r="D260" t="s">
        <v>1496</v>
      </c>
      <c r="E260" s="14">
        <v>46271</v>
      </c>
      <c r="F260" t="str">
        <f t="shared" si="68"/>
        <v>ordinario_s23_do</v>
      </c>
      <c r="G260" s="15" t="str">
        <f t="shared" si="69"/>
        <v>"06/09/2026": "ordinario_s23_do",</v>
      </c>
      <c r="H260" t="str">
        <f t="shared" si="63"/>
        <v>// TIEMPO ORDINARIO SEMANA 23</v>
      </c>
      <c r="K260" s="14"/>
    </row>
    <row r="261" spans="1:11">
      <c r="A261">
        <f t="shared" si="65"/>
        <v>2026</v>
      </c>
      <c r="B261" t="str">
        <f t="shared" si="66"/>
        <v>lu</v>
      </c>
      <c r="C261">
        <f t="shared" ref="C261:C267" si="74">+C260</f>
        <v>23</v>
      </c>
      <c r="D261" t="s">
        <v>1496</v>
      </c>
      <c r="E261" s="14">
        <v>46272</v>
      </c>
      <c r="F261" t="str">
        <f t="shared" si="68"/>
        <v>ordinario_s23_lu</v>
      </c>
      <c r="G261" s="15" t="str">
        <f t="shared" si="69"/>
        <v>"07/09/2026": "ordinario_s23_lu",</v>
      </c>
      <c r="H261" t="str">
        <f t="shared" si="63"/>
        <v/>
      </c>
      <c r="K261" s="14"/>
    </row>
    <row r="262" spans="1:11">
      <c r="A262">
        <f t="shared" si="65"/>
        <v>2026</v>
      </c>
      <c r="B262" t="str">
        <f t="shared" si="66"/>
        <v>ma</v>
      </c>
      <c r="C262">
        <f t="shared" si="74"/>
        <v>23</v>
      </c>
      <c r="D262" t="s">
        <v>1496</v>
      </c>
      <c r="E262" s="14">
        <v>46273</v>
      </c>
      <c r="F262" t="str">
        <f t="shared" si="68"/>
        <v>ordinario_s23_ma</v>
      </c>
      <c r="G262" s="15" t="str">
        <f t="shared" si="69"/>
        <v>"08/09/2026": "ordinario_s23_ma",</v>
      </c>
      <c r="H262" t="str">
        <f t="shared" si="63"/>
        <v/>
      </c>
      <c r="K262" s="14"/>
    </row>
    <row r="263" spans="1:11">
      <c r="A263">
        <f t="shared" si="65"/>
        <v>2026</v>
      </c>
      <c r="B263" t="str">
        <f t="shared" si="66"/>
        <v>mi</v>
      </c>
      <c r="C263">
        <f t="shared" si="74"/>
        <v>23</v>
      </c>
      <c r="D263" t="s">
        <v>1496</v>
      </c>
      <c r="E263" s="14">
        <v>46274</v>
      </c>
      <c r="F263" t="str">
        <f t="shared" si="68"/>
        <v>ordinario_s23_mi</v>
      </c>
      <c r="G263" s="15" t="str">
        <f t="shared" si="69"/>
        <v>"09/09/2026": "ordinario_s23_mi",</v>
      </c>
      <c r="H263" t="str">
        <f t="shared" si="63"/>
        <v/>
      </c>
      <c r="K263" s="14"/>
    </row>
    <row r="264" spans="1:11">
      <c r="A264">
        <f t="shared" si="65"/>
        <v>2026</v>
      </c>
      <c r="B264" t="str">
        <f t="shared" si="66"/>
        <v>ju</v>
      </c>
      <c r="C264">
        <f t="shared" si="74"/>
        <v>23</v>
      </c>
      <c r="D264" t="s">
        <v>1496</v>
      </c>
      <c r="E264" s="14">
        <v>46275</v>
      </c>
      <c r="F264" t="str">
        <f t="shared" si="68"/>
        <v>ordinario_s23_ju</v>
      </c>
      <c r="G264" s="15" t="str">
        <f t="shared" si="69"/>
        <v>"10/09/2026": "ordinario_s23_ju",</v>
      </c>
      <c r="H264" t="str">
        <f t="shared" si="63"/>
        <v/>
      </c>
      <c r="K264" s="14"/>
    </row>
    <row r="265" spans="1:11">
      <c r="A265">
        <f t="shared" si="65"/>
        <v>2026</v>
      </c>
      <c r="B265" t="str">
        <f t="shared" si="66"/>
        <v>vi</v>
      </c>
      <c r="C265">
        <f t="shared" si="74"/>
        <v>23</v>
      </c>
      <c r="D265" t="s">
        <v>1496</v>
      </c>
      <c r="E265" s="14">
        <v>46276</v>
      </c>
      <c r="F265" t="str">
        <f t="shared" si="68"/>
        <v>ordinario_s23_vi</v>
      </c>
      <c r="G265" s="15" t="str">
        <f t="shared" si="69"/>
        <v>"11/09/2026": "ordinario_s23_vi",</v>
      </c>
      <c r="H265" t="str">
        <f t="shared" si="63"/>
        <v/>
      </c>
      <c r="K265" s="14"/>
    </row>
    <row r="266" spans="1:11">
      <c r="A266">
        <f t="shared" si="65"/>
        <v>2026</v>
      </c>
      <c r="B266" t="str">
        <f t="shared" si="66"/>
        <v>sa</v>
      </c>
      <c r="C266">
        <f t="shared" si="74"/>
        <v>23</v>
      </c>
      <c r="D266" t="s">
        <v>1496</v>
      </c>
      <c r="E266" s="14">
        <v>46277</v>
      </c>
      <c r="F266" t="str">
        <f t="shared" si="68"/>
        <v>ordinario_s23_sa</v>
      </c>
      <c r="G266" s="15" t="str">
        <f t="shared" si="69"/>
        <v>"12/09/2026": "ordinario_s23_sa",</v>
      </c>
      <c r="H266" t="str">
        <f t="shared" si="63"/>
        <v/>
      </c>
      <c r="K266" s="14"/>
    </row>
    <row r="267" spans="1:11">
      <c r="A267">
        <f t="shared" si="65"/>
        <v>2026</v>
      </c>
      <c r="B267" t="str">
        <f t="shared" si="66"/>
        <v>do</v>
      </c>
      <c r="C267">
        <f>C266+1</f>
        <v>24</v>
      </c>
      <c r="D267" t="s">
        <v>1496</v>
      </c>
      <c r="E267" s="14">
        <v>46278</v>
      </c>
      <c r="F267" t="str">
        <f t="shared" si="68"/>
        <v>ordinario_s24_do</v>
      </c>
      <c r="G267" s="15" t="str">
        <f t="shared" si="69"/>
        <v>"13/09/2026": "ordinario_s24_do",</v>
      </c>
      <c r="H267" t="str">
        <f t="shared" si="63"/>
        <v>// TIEMPO ORDINARIO SEMANA 24</v>
      </c>
      <c r="K267" s="14"/>
    </row>
    <row r="268" spans="1:11">
      <c r="A268">
        <f t="shared" si="65"/>
        <v>2026</v>
      </c>
      <c r="B268" t="str">
        <f t="shared" si="66"/>
        <v>lu</v>
      </c>
      <c r="C268">
        <f t="shared" ref="C268:C274" si="75">+C267</f>
        <v>24</v>
      </c>
      <c r="D268" t="s">
        <v>1496</v>
      </c>
      <c r="E268" s="14">
        <v>46279</v>
      </c>
      <c r="F268" t="str">
        <f t="shared" si="68"/>
        <v>ordinario_s24_lu</v>
      </c>
      <c r="G268" s="15" t="str">
        <f t="shared" si="69"/>
        <v>"14/09/2026": "ordinario_s24_lu",</v>
      </c>
      <c r="H268" t="str">
        <f t="shared" si="63"/>
        <v/>
      </c>
      <c r="K268" s="14"/>
    </row>
    <row r="269" spans="1:11">
      <c r="A269">
        <f t="shared" si="65"/>
        <v>2026</v>
      </c>
      <c r="B269" t="str">
        <f t="shared" si="66"/>
        <v>ma</v>
      </c>
      <c r="C269">
        <f t="shared" si="75"/>
        <v>24</v>
      </c>
      <c r="D269" t="s">
        <v>1496</v>
      </c>
      <c r="E269" s="14">
        <v>46280</v>
      </c>
      <c r="F269" t="str">
        <f t="shared" si="68"/>
        <v>ordinario_s24_ma</v>
      </c>
      <c r="G269" s="15" t="str">
        <f t="shared" si="69"/>
        <v>"15/09/2026": "ordinario_s24_ma",</v>
      </c>
      <c r="H269" t="str">
        <f t="shared" si="63"/>
        <v/>
      </c>
      <c r="K269" s="14"/>
    </row>
    <row r="270" spans="1:11">
      <c r="A270">
        <f t="shared" si="65"/>
        <v>2026</v>
      </c>
      <c r="B270" t="str">
        <f t="shared" si="66"/>
        <v>mi</v>
      </c>
      <c r="C270">
        <f t="shared" si="75"/>
        <v>24</v>
      </c>
      <c r="D270" t="s">
        <v>1496</v>
      </c>
      <c r="E270" s="14">
        <v>46281</v>
      </c>
      <c r="F270" t="str">
        <f t="shared" si="68"/>
        <v>ordinario_s24_mi</v>
      </c>
      <c r="G270" s="15" t="str">
        <f t="shared" si="69"/>
        <v>"16/09/2026": "ordinario_s24_mi",</v>
      </c>
      <c r="H270" t="str">
        <f t="shared" si="63"/>
        <v/>
      </c>
      <c r="K270" s="14"/>
    </row>
    <row r="271" spans="1:11">
      <c r="A271">
        <f t="shared" si="65"/>
        <v>2026</v>
      </c>
      <c r="B271" t="str">
        <f t="shared" si="66"/>
        <v>ju</v>
      </c>
      <c r="C271">
        <f t="shared" si="75"/>
        <v>24</v>
      </c>
      <c r="D271" t="s">
        <v>1496</v>
      </c>
      <c r="E271" s="14">
        <v>46282</v>
      </c>
      <c r="F271" t="str">
        <f t="shared" si="68"/>
        <v>ordinario_s24_ju</v>
      </c>
      <c r="G271" s="15" t="str">
        <f t="shared" si="69"/>
        <v>"17/09/2026": "ordinario_s24_ju",</v>
      </c>
      <c r="H271" t="str">
        <f t="shared" si="63"/>
        <v/>
      </c>
      <c r="K271" s="14"/>
    </row>
    <row r="272" spans="1:11">
      <c r="A272">
        <f t="shared" si="65"/>
        <v>2026</v>
      </c>
      <c r="B272" t="str">
        <f t="shared" si="66"/>
        <v>vi</v>
      </c>
      <c r="C272">
        <f t="shared" si="75"/>
        <v>24</v>
      </c>
      <c r="D272" t="s">
        <v>1496</v>
      </c>
      <c r="E272" s="14">
        <v>46283</v>
      </c>
      <c r="F272" t="str">
        <f t="shared" si="68"/>
        <v>ordinario_s24_vi</v>
      </c>
      <c r="G272" s="15" t="str">
        <f t="shared" si="69"/>
        <v>"18/09/2026": "ordinario_s24_vi",</v>
      </c>
      <c r="H272" t="str">
        <f t="shared" si="63"/>
        <v/>
      </c>
      <c r="K272" s="14"/>
    </row>
    <row r="273" spans="1:11">
      <c r="A273">
        <f t="shared" si="65"/>
        <v>2026</v>
      </c>
      <c r="B273" t="str">
        <f t="shared" si="66"/>
        <v>sa</v>
      </c>
      <c r="C273">
        <f t="shared" si="75"/>
        <v>24</v>
      </c>
      <c r="D273" t="s">
        <v>1496</v>
      </c>
      <c r="E273" s="14">
        <v>46284</v>
      </c>
      <c r="F273" t="str">
        <f t="shared" si="68"/>
        <v>ordinario_s24_sa</v>
      </c>
      <c r="G273" s="15" t="str">
        <f t="shared" si="69"/>
        <v>"19/09/2026": "ordinario_s24_sa",</v>
      </c>
      <c r="H273" t="str">
        <f t="shared" si="63"/>
        <v/>
      </c>
      <c r="K273" s="14"/>
    </row>
    <row r="274" spans="1:11">
      <c r="A274">
        <f t="shared" si="65"/>
        <v>2026</v>
      </c>
      <c r="B274" t="str">
        <f t="shared" si="66"/>
        <v>do</v>
      </c>
      <c r="C274">
        <f>C273+1</f>
        <v>25</v>
      </c>
      <c r="D274" t="s">
        <v>1496</v>
      </c>
      <c r="E274" s="14">
        <v>46285</v>
      </c>
      <c r="F274" t="str">
        <f t="shared" si="68"/>
        <v>ordinario_s25_do</v>
      </c>
      <c r="G274" s="15" t="str">
        <f t="shared" si="69"/>
        <v>"20/09/2026": "ordinario_s25_do",</v>
      </c>
      <c r="H274" t="str">
        <f t="shared" si="63"/>
        <v>// TIEMPO ORDINARIO SEMANA 25</v>
      </c>
      <c r="K274" s="14"/>
    </row>
    <row r="275" spans="1:11">
      <c r="A275">
        <f t="shared" si="65"/>
        <v>2026</v>
      </c>
      <c r="B275" t="str">
        <f t="shared" si="66"/>
        <v>lu</v>
      </c>
      <c r="C275">
        <f t="shared" ref="C275:C281" si="76">+C274</f>
        <v>25</v>
      </c>
      <c r="D275" t="s">
        <v>1496</v>
      </c>
      <c r="E275" s="14">
        <v>46286</v>
      </c>
      <c r="F275" t="str">
        <f t="shared" si="68"/>
        <v>ordinario_s25_lu</v>
      </c>
      <c r="G275" s="15" t="str">
        <f t="shared" si="69"/>
        <v>"21/09/2026": "ordinario_s25_lu",</v>
      </c>
      <c r="H275" t="str">
        <f t="shared" si="63"/>
        <v/>
      </c>
      <c r="K275" s="14"/>
    </row>
    <row r="276" spans="1:11">
      <c r="A276">
        <f t="shared" si="65"/>
        <v>2026</v>
      </c>
      <c r="B276" t="str">
        <f t="shared" si="66"/>
        <v>ma</v>
      </c>
      <c r="C276">
        <f t="shared" si="76"/>
        <v>25</v>
      </c>
      <c r="D276" t="s">
        <v>1496</v>
      </c>
      <c r="E276" s="14">
        <v>46287</v>
      </c>
      <c r="F276" t="str">
        <f t="shared" si="68"/>
        <v>ordinario_s25_ma</v>
      </c>
      <c r="G276" s="15" t="str">
        <f t="shared" si="69"/>
        <v>"22/09/2026": "ordinario_s25_ma",</v>
      </c>
      <c r="H276" t="str">
        <f t="shared" si="63"/>
        <v/>
      </c>
      <c r="K276" s="14"/>
    </row>
    <row r="277" spans="1:11">
      <c r="A277">
        <f t="shared" si="65"/>
        <v>2026</v>
      </c>
      <c r="B277" t="str">
        <f t="shared" si="66"/>
        <v>mi</v>
      </c>
      <c r="C277">
        <f t="shared" si="76"/>
        <v>25</v>
      </c>
      <c r="D277" t="s">
        <v>1496</v>
      </c>
      <c r="E277" s="14">
        <v>46288</v>
      </c>
      <c r="F277" t="str">
        <f t="shared" si="68"/>
        <v>ordinario_s25_mi</v>
      </c>
      <c r="G277" s="15" t="str">
        <f t="shared" si="69"/>
        <v>"23/09/2026": "ordinario_s25_mi",</v>
      </c>
      <c r="H277" t="str">
        <f t="shared" si="63"/>
        <v/>
      </c>
      <c r="K277" s="14"/>
    </row>
    <row r="278" spans="1:11">
      <c r="A278">
        <f t="shared" si="65"/>
        <v>2026</v>
      </c>
      <c r="B278" t="str">
        <f t="shared" si="66"/>
        <v>ju</v>
      </c>
      <c r="C278">
        <f t="shared" si="76"/>
        <v>25</v>
      </c>
      <c r="D278" t="s">
        <v>1496</v>
      </c>
      <c r="E278" s="14">
        <v>46289</v>
      </c>
      <c r="F278" t="str">
        <f t="shared" si="68"/>
        <v>ordinario_s25_ju</v>
      </c>
      <c r="G278" s="15" t="str">
        <f t="shared" si="69"/>
        <v>"24/09/2026": "ordinario_s25_ju",</v>
      </c>
      <c r="H278" t="str">
        <f t="shared" si="63"/>
        <v/>
      </c>
      <c r="K278" s="14"/>
    </row>
    <row r="279" spans="1:11">
      <c r="A279">
        <f t="shared" si="65"/>
        <v>2026</v>
      </c>
      <c r="B279" t="str">
        <f t="shared" si="66"/>
        <v>vi</v>
      </c>
      <c r="C279">
        <f t="shared" si="76"/>
        <v>25</v>
      </c>
      <c r="D279" t="s">
        <v>1496</v>
      </c>
      <c r="E279" s="14">
        <v>46290</v>
      </c>
      <c r="F279" t="str">
        <f t="shared" si="68"/>
        <v>ordinario_s25_vi</v>
      </c>
      <c r="G279" s="15" t="str">
        <f t="shared" si="69"/>
        <v>"25/09/2026": "ordinario_s25_vi",</v>
      </c>
      <c r="H279" t="str">
        <f t="shared" si="63"/>
        <v/>
      </c>
      <c r="K279" s="14"/>
    </row>
    <row r="280" spans="1:11">
      <c r="A280">
        <f t="shared" si="65"/>
        <v>2026</v>
      </c>
      <c r="B280" t="str">
        <f t="shared" si="66"/>
        <v>sa</v>
      </c>
      <c r="C280">
        <f t="shared" si="76"/>
        <v>25</v>
      </c>
      <c r="D280" t="s">
        <v>1496</v>
      </c>
      <c r="E280" s="14">
        <v>46291</v>
      </c>
      <c r="F280" t="str">
        <f t="shared" si="68"/>
        <v>ordinario_s25_sa</v>
      </c>
      <c r="G280" s="15" t="str">
        <f t="shared" si="69"/>
        <v>"26/09/2026": "ordinario_s25_sa",</v>
      </c>
      <c r="H280" t="str">
        <f t="shared" si="63"/>
        <v/>
      </c>
      <c r="K280" s="14"/>
    </row>
    <row r="281" spans="1:11">
      <c r="A281">
        <f t="shared" si="65"/>
        <v>2026</v>
      </c>
      <c r="B281" t="str">
        <f t="shared" si="66"/>
        <v>do</v>
      </c>
      <c r="C281">
        <f>C280+1</f>
        <v>26</v>
      </c>
      <c r="D281" t="s">
        <v>1496</v>
      </c>
      <c r="E281" s="14">
        <v>46292</v>
      </c>
      <c r="F281" t="str">
        <f t="shared" si="68"/>
        <v>ordinario_s26_do</v>
      </c>
      <c r="G281" s="15" t="str">
        <f t="shared" si="69"/>
        <v>"27/09/2026": "ordinario_s26_do",</v>
      </c>
      <c r="H281" t="str">
        <f t="shared" ref="H281:H337" si="77">IF(B281="do", "// TIEMPO " &amp; UPPER(D281) &amp; " SEMANA " &amp; C281, "")</f>
        <v>// TIEMPO ORDINARIO SEMANA 26</v>
      </c>
      <c r="K281" s="14"/>
    </row>
    <row r="282" spans="1:11">
      <c r="A282">
        <f t="shared" si="65"/>
        <v>2026</v>
      </c>
      <c r="B282" t="str">
        <f t="shared" si="66"/>
        <v>lu</v>
      </c>
      <c r="C282">
        <f t="shared" ref="C282:C288" si="78">+C281</f>
        <v>26</v>
      </c>
      <c r="D282" t="s">
        <v>1496</v>
      </c>
      <c r="E282" s="14">
        <v>46293</v>
      </c>
      <c r="F282" t="str">
        <f t="shared" si="68"/>
        <v>ordinario_s26_lu</v>
      </c>
      <c r="G282" s="15" t="str">
        <f t="shared" si="69"/>
        <v>"28/09/2026": "ordinario_s26_lu",</v>
      </c>
      <c r="H282" t="str">
        <f t="shared" si="77"/>
        <v/>
      </c>
      <c r="K282" s="14"/>
    </row>
    <row r="283" spans="1:11">
      <c r="A283">
        <f t="shared" si="65"/>
        <v>2026</v>
      </c>
      <c r="B283" t="str">
        <f t="shared" si="66"/>
        <v>ma</v>
      </c>
      <c r="C283">
        <f t="shared" si="78"/>
        <v>26</v>
      </c>
      <c r="D283" t="s">
        <v>1496</v>
      </c>
      <c r="E283" s="14">
        <v>46294</v>
      </c>
      <c r="F283" t="str">
        <f t="shared" si="68"/>
        <v>ordinario_s26_ma</v>
      </c>
      <c r="G283" s="15" t="str">
        <f t="shared" si="69"/>
        <v>"29/09/2026": "ordinario_s26_ma",</v>
      </c>
      <c r="H283" t="str">
        <f t="shared" si="77"/>
        <v/>
      </c>
      <c r="K283" s="14"/>
    </row>
    <row r="284" spans="1:11">
      <c r="A284">
        <f t="shared" si="65"/>
        <v>2026</v>
      </c>
      <c r="B284" t="str">
        <f t="shared" si="66"/>
        <v>mi</v>
      </c>
      <c r="C284">
        <f t="shared" si="78"/>
        <v>26</v>
      </c>
      <c r="D284" t="s">
        <v>1496</v>
      </c>
      <c r="E284" s="14">
        <v>46295</v>
      </c>
      <c r="F284" t="str">
        <f t="shared" si="68"/>
        <v>ordinario_s26_mi</v>
      </c>
      <c r="G284" s="15" t="str">
        <f t="shared" si="69"/>
        <v>"30/09/2026": "ordinario_s26_mi",</v>
      </c>
      <c r="H284" t="str">
        <f t="shared" si="77"/>
        <v/>
      </c>
      <c r="K284" s="14"/>
    </row>
    <row r="285" spans="1:11">
      <c r="A285">
        <f t="shared" si="65"/>
        <v>2026</v>
      </c>
      <c r="B285" t="str">
        <f t="shared" si="66"/>
        <v>ju</v>
      </c>
      <c r="C285">
        <f t="shared" si="78"/>
        <v>26</v>
      </c>
      <c r="D285" t="s">
        <v>1496</v>
      </c>
      <c r="E285" s="14">
        <v>46296</v>
      </c>
      <c r="F285" t="str">
        <f t="shared" si="68"/>
        <v>ordinario_s26_ju</v>
      </c>
      <c r="G285" s="15" t="str">
        <f t="shared" si="69"/>
        <v>"01/10/2026": "ordinario_s26_ju",</v>
      </c>
      <c r="H285" t="str">
        <f t="shared" si="77"/>
        <v/>
      </c>
      <c r="K285" s="14"/>
    </row>
    <row r="286" spans="1:11">
      <c r="A286">
        <f t="shared" si="65"/>
        <v>2026</v>
      </c>
      <c r="B286" t="str">
        <f t="shared" si="66"/>
        <v>vi</v>
      </c>
      <c r="C286">
        <f t="shared" si="78"/>
        <v>26</v>
      </c>
      <c r="D286" t="s">
        <v>1496</v>
      </c>
      <c r="E286" s="14">
        <v>46297</v>
      </c>
      <c r="F286" t="str">
        <f t="shared" si="68"/>
        <v>ordinario_s26_vi</v>
      </c>
      <c r="G286" s="15" t="str">
        <f t="shared" si="69"/>
        <v>"02/10/2026": "ordinario_s26_vi",</v>
      </c>
      <c r="H286" t="str">
        <f t="shared" si="77"/>
        <v/>
      </c>
      <c r="K286" s="14"/>
    </row>
    <row r="287" spans="1:11">
      <c r="A287">
        <f t="shared" si="65"/>
        <v>2026</v>
      </c>
      <c r="B287" t="str">
        <f t="shared" si="66"/>
        <v>sa</v>
      </c>
      <c r="C287">
        <f t="shared" si="78"/>
        <v>26</v>
      </c>
      <c r="D287" t="s">
        <v>1496</v>
      </c>
      <c r="E287" s="14">
        <v>46298</v>
      </c>
      <c r="F287" t="str">
        <f t="shared" si="68"/>
        <v>ordinario_s26_sa</v>
      </c>
      <c r="G287" s="15" t="str">
        <f t="shared" si="69"/>
        <v>"03/10/2026": "ordinario_s26_sa",</v>
      </c>
      <c r="H287" t="str">
        <f t="shared" si="77"/>
        <v/>
      </c>
      <c r="K287" s="14"/>
    </row>
    <row r="288" spans="1:11">
      <c r="A288">
        <f t="shared" si="65"/>
        <v>2026</v>
      </c>
      <c r="B288" t="str">
        <f t="shared" si="66"/>
        <v>do</v>
      </c>
      <c r="C288">
        <f>C287+1</f>
        <v>27</v>
      </c>
      <c r="D288" t="s">
        <v>1496</v>
      </c>
      <c r="E288" s="14">
        <v>46299</v>
      </c>
      <c r="F288" t="str">
        <f t="shared" si="68"/>
        <v>ordinario_s27_do</v>
      </c>
      <c r="G288" s="15" t="str">
        <f t="shared" si="69"/>
        <v>"04/10/2026": "ordinario_s27_do",</v>
      </c>
      <c r="H288" t="str">
        <f t="shared" si="77"/>
        <v>// TIEMPO ORDINARIO SEMANA 27</v>
      </c>
      <c r="K288" s="14"/>
    </row>
    <row r="289" spans="1:11">
      <c r="A289">
        <f t="shared" ref="A289:A352" si="79">YEAR(E289)</f>
        <v>2026</v>
      </c>
      <c r="B289" t="str">
        <f t="shared" ref="B289:B352" si="80">CHOOSE(WEEKDAY(E289), "do", "lu", "ma", "mi", "ju", "vi", "sa")</f>
        <v>lu</v>
      </c>
      <c r="C289">
        <f t="shared" ref="C289:C295" si="81">+C288</f>
        <v>27</v>
      </c>
      <c r="D289" t="s">
        <v>1496</v>
      </c>
      <c r="E289" s="14">
        <v>46300</v>
      </c>
      <c r="F289" t="str">
        <f t="shared" si="68"/>
        <v>ordinario_s27_lu</v>
      </c>
      <c r="G289" s="15" t="str">
        <f t="shared" si="69"/>
        <v>"05/10/2026": "ordinario_s27_lu",</v>
      </c>
      <c r="H289" t="str">
        <f t="shared" si="77"/>
        <v/>
      </c>
      <c r="K289" s="14"/>
    </row>
    <row r="290" spans="1:11">
      <c r="A290">
        <f t="shared" si="79"/>
        <v>2026</v>
      </c>
      <c r="B290" t="str">
        <f t="shared" si="80"/>
        <v>ma</v>
      </c>
      <c r="C290">
        <f t="shared" si="81"/>
        <v>27</v>
      </c>
      <c r="D290" t="s">
        <v>1496</v>
      </c>
      <c r="E290" s="14">
        <v>46301</v>
      </c>
      <c r="F290" t="str">
        <f t="shared" ref="F290:F354" si="82">_xlfn.CONCAT(D290,"_s",C290,"_",B290)</f>
        <v>ordinario_s27_ma</v>
      </c>
      <c r="G290" s="15" t="str">
        <f t="shared" ref="G290:G354" si="83">"""" &amp; TEXT(E290, "dd/mm/yyyy") &amp; """: """ &amp; F290 &amp; ""","</f>
        <v>"06/10/2026": "ordinario_s27_ma",</v>
      </c>
      <c r="H290" t="str">
        <f t="shared" si="77"/>
        <v/>
      </c>
      <c r="K290" s="14"/>
    </row>
    <row r="291" spans="1:11">
      <c r="A291">
        <f t="shared" si="79"/>
        <v>2026</v>
      </c>
      <c r="B291" t="str">
        <f t="shared" si="80"/>
        <v>mi</v>
      </c>
      <c r="C291">
        <f t="shared" si="81"/>
        <v>27</v>
      </c>
      <c r="D291" t="s">
        <v>1496</v>
      </c>
      <c r="E291" s="14">
        <v>46302</v>
      </c>
      <c r="F291" t="str">
        <f t="shared" si="82"/>
        <v>ordinario_s27_mi</v>
      </c>
      <c r="G291" s="15" t="str">
        <f t="shared" si="83"/>
        <v>"07/10/2026": "ordinario_s27_mi",</v>
      </c>
      <c r="H291" t="str">
        <f t="shared" si="77"/>
        <v/>
      </c>
      <c r="K291" s="14"/>
    </row>
    <row r="292" spans="1:11">
      <c r="A292">
        <f t="shared" si="79"/>
        <v>2026</v>
      </c>
      <c r="B292" t="str">
        <f t="shared" si="80"/>
        <v>ju</v>
      </c>
      <c r="C292">
        <f t="shared" si="81"/>
        <v>27</v>
      </c>
      <c r="D292" t="s">
        <v>1496</v>
      </c>
      <c r="E292" s="14">
        <v>46303</v>
      </c>
      <c r="F292" t="str">
        <f t="shared" si="82"/>
        <v>ordinario_s27_ju</v>
      </c>
      <c r="G292" s="15" t="str">
        <f t="shared" si="83"/>
        <v>"08/10/2026": "ordinario_s27_ju",</v>
      </c>
      <c r="H292" t="str">
        <f t="shared" si="77"/>
        <v/>
      </c>
      <c r="K292" s="14"/>
    </row>
    <row r="293" spans="1:11">
      <c r="A293">
        <f t="shared" si="79"/>
        <v>2026</v>
      </c>
      <c r="B293" t="str">
        <f t="shared" si="80"/>
        <v>vi</v>
      </c>
      <c r="C293">
        <f t="shared" si="81"/>
        <v>27</v>
      </c>
      <c r="D293" t="s">
        <v>1496</v>
      </c>
      <c r="E293" s="14">
        <v>46304</v>
      </c>
      <c r="F293" t="str">
        <f t="shared" si="82"/>
        <v>ordinario_s27_vi</v>
      </c>
      <c r="G293" s="15" t="str">
        <f t="shared" si="83"/>
        <v>"09/10/2026": "ordinario_s27_vi",</v>
      </c>
      <c r="H293" t="str">
        <f t="shared" si="77"/>
        <v/>
      </c>
      <c r="K293" s="14"/>
    </row>
    <row r="294" spans="1:11">
      <c r="A294">
        <f t="shared" si="79"/>
        <v>2026</v>
      </c>
      <c r="B294" t="str">
        <f t="shared" si="80"/>
        <v>sa</v>
      </c>
      <c r="C294">
        <f t="shared" si="81"/>
        <v>27</v>
      </c>
      <c r="D294" t="s">
        <v>1496</v>
      </c>
      <c r="E294" s="14">
        <v>46305</v>
      </c>
      <c r="F294" t="str">
        <f t="shared" si="82"/>
        <v>ordinario_s27_sa</v>
      </c>
      <c r="G294" s="15" t="str">
        <f t="shared" si="83"/>
        <v>"10/10/2026": "ordinario_s27_sa",</v>
      </c>
      <c r="H294" t="str">
        <f t="shared" si="77"/>
        <v/>
      </c>
      <c r="K294" s="14"/>
    </row>
    <row r="295" spans="1:11">
      <c r="A295">
        <f t="shared" si="79"/>
        <v>2026</v>
      </c>
      <c r="B295" t="str">
        <f t="shared" si="80"/>
        <v>do</v>
      </c>
      <c r="C295">
        <f>C294+1</f>
        <v>28</v>
      </c>
      <c r="D295" t="s">
        <v>1496</v>
      </c>
      <c r="E295" s="14">
        <v>46306</v>
      </c>
      <c r="F295" t="str">
        <f t="shared" si="82"/>
        <v>ordinario_s28_do</v>
      </c>
      <c r="G295" s="15" t="str">
        <f t="shared" si="83"/>
        <v>"11/10/2026": "ordinario_s28_do",</v>
      </c>
      <c r="H295" t="str">
        <f t="shared" si="77"/>
        <v>// TIEMPO ORDINARIO SEMANA 28</v>
      </c>
      <c r="K295" s="14"/>
    </row>
    <row r="296" spans="1:11">
      <c r="A296">
        <f t="shared" si="79"/>
        <v>2026</v>
      </c>
      <c r="B296" t="str">
        <f t="shared" si="80"/>
        <v>lu</v>
      </c>
      <c r="C296">
        <f t="shared" ref="C296:C302" si="84">+C295</f>
        <v>28</v>
      </c>
      <c r="D296" t="s">
        <v>1496</v>
      </c>
      <c r="E296" s="14">
        <v>46307</v>
      </c>
      <c r="F296" t="str">
        <f t="shared" si="82"/>
        <v>ordinario_s28_lu</v>
      </c>
      <c r="G296" s="15" t="str">
        <f t="shared" si="83"/>
        <v>"12/10/2026": "ordinario_s28_lu",</v>
      </c>
      <c r="H296" t="str">
        <f t="shared" si="77"/>
        <v/>
      </c>
      <c r="K296" s="14"/>
    </row>
    <row r="297" spans="1:11">
      <c r="A297">
        <f t="shared" si="79"/>
        <v>2026</v>
      </c>
      <c r="B297" t="str">
        <f t="shared" si="80"/>
        <v>ma</v>
      </c>
      <c r="C297">
        <f t="shared" si="84"/>
        <v>28</v>
      </c>
      <c r="D297" t="s">
        <v>1496</v>
      </c>
      <c r="E297" s="14">
        <v>46308</v>
      </c>
      <c r="F297" t="str">
        <f t="shared" si="82"/>
        <v>ordinario_s28_ma</v>
      </c>
      <c r="G297" s="15" t="str">
        <f t="shared" si="83"/>
        <v>"13/10/2026": "ordinario_s28_ma",</v>
      </c>
      <c r="H297" t="str">
        <f t="shared" si="77"/>
        <v/>
      </c>
      <c r="K297" s="14"/>
    </row>
    <row r="298" spans="1:11">
      <c r="A298">
        <f t="shared" si="79"/>
        <v>2026</v>
      </c>
      <c r="B298" t="str">
        <f t="shared" si="80"/>
        <v>mi</v>
      </c>
      <c r="C298">
        <f t="shared" si="84"/>
        <v>28</v>
      </c>
      <c r="D298" t="s">
        <v>1496</v>
      </c>
      <c r="E298" s="14">
        <v>46309</v>
      </c>
      <c r="F298" t="str">
        <f t="shared" si="82"/>
        <v>ordinario_s28_mi</v>
      </c>
      <c r="G298" s="15" t="str">
        <f t="shared" si="83"/>
        <v>"14/10/2026": "ordinario_s28_mi",</v>
      </c>
      <c r="H298" t="str">
        <f t="shared" si="77"/>
        <v/>
      </c>
      <c r="K298" s="14"/>
    </row>
    <row r="299" spans="1:11">
      <c r="A299">
        <f t="shared" si="79"/>
        <v>2026</v>
      </c>
      <c r="B299" t="str">
        <f t="shared" si="80"/>
        <v>ju</v>
      </c>
      <c r="C299">
        <f t="shared" si="84"/>
        <v>28</v>
      </c>
      <c r="D299" t="s">
        <v>1496</v>
      </c>
      <c r="E299" s="14">
        <v>46310</v>
      </c>
      <c r="F299" t="str">
        <f t="shared" si="82"/>
        <v>ordinario_s28_ju</v>
      </c>
      <c r="G299" s="15" t="str">
        <f t="shared" si="83"/>
        <v>"15/10/2026": "ordinario_s28_ju",</v>
      </c>
      <c r="H299" t="str">
        <f t="shared" si="77"/>
        <v/>
      </c>
      <c r="K299" s="14"/>
    </row>
    <row r="300" spans="1:11">
      <c r="A300">
        <f t="shared" si="79"/>
        <v>2026</v>
      </c>
      <c r="B300" t="str">
        <f t="shared" si="80"/>
        <v>vi</v>
      </c>
      <c r="C300">
        <f t="shared" si="84"/>
        <v>28</v>
      </c>
      <c r="D300" t="s">
        <v>1496</v>
      </c>
      <c r="E300" s="14">
        <v>46311</v>
      </c>
      <c r="F300" t="str">
        <f t="shared" si="82"/>
        <v>ordinario_s28_vi</v>
      </c>
      <c r="G300" s="15" t="str">
        <f t="shared" si="83"/>
        <v>"16/10/2026": "ordinario_s28_vi",</v>
      </c>
      <c r="H300" t="str">
        <f t="shared" si="77"/>
        <v/>
      </c>
      <c r="K300" s="14"/>
    </row>
    <row r="301" spans="1:11">
      <c r="A301">
        <f t="shared" si="79"/>
        <v>2026</v>
      </c>
      <c r="B301" t="str">
        <f t="shared" si="80"/>
        <v>sa</v>
      </c>
      <c r="C301">
        <f t="shared" si="84"/>
        <v>28</v>
      </c>
      <c r="D301" t="s">
        <v>1496</v>
      </c>
      <c r="E301" s="14">
        <v>46312</v>
      </c>
      <c r="F301" t="str">
        <f t="shared" si="82"/>
        <v>ordinario_s28_sa</v>
      </c>
      <c r="G301" s="15" t="str">
        <f t="shared" si="83"/>
        <v>"17/10/2026": "ordinario_s28_sa",</v>
      </c>
      <c r="H301" t="str">
        <f t="shared" si="77"/>
        <v/>
      </c>
      <c r="K301" s="14"/>
    </row>
    <row r="302" spans="1:11">
      <c r="A302">
        <f t="shared" si="79"/>
        <v>2026</v>
      </c>
      <c r="B302" t="str">
        <f t="shared" si="80"/>
        <v>do</v>
      </c>
      <c r="C302">
        <f>C301+1</f>
        <v>29</v>
      </c>
      <c r="D302" t="s">
        <v>1496</v>
      </c>
      <c r="E302" s="14">
        <v>46313</v>
      </c>
      <c r="F302" t="str">
        <f t="shared" si="82"/>
        <v>ordinario_s29_do</v>
      </c>
      <c r="G302" s="15" t="str">
        <f t="shared" si="83"/>
        <v>"18/10/2026": "ordinario_s29_do",</v>
      </c>
      <c r="H302" t="str">
        <f t="shared" si="77"/>
        <v>// TIEMPO ORDINARIO SEMANA 29</v>
      </c>
      <c r="K302" s="14"/>
    </row>
    <row r="303" spans="1:11">
      <c r="A303">
        <f t="shared" si="79"/>
        <v>2026</v>
      </c>
      <c r="B303" t="str">
        <f t="shared" si="80"/>
        <v>lu</v>
      </c>
      <c r="C303">
        <f t="shared" ref="C303:C309" si="85">+C302</f>
        <v>29</v>
      </c>
      <c r="D303" t="s">
        <v>1496</v>
      </c>
      <c r="E303" s="14">
        <v>46314</v>
      </c>
      <c r="F303" t="str">
        <f t="shared" si="82"/>
        <v>ordinario_s29_lu</v>
      </c>
      <c r="G303" s="15" t="str">
        <f t="shared" si="83"/>
        <v>"19/10/2026": "ordinario_s29_lu",</v>
      </c>
      <c r="H303" t="str">
        <f t="shared" si="77"/>
        <v/>
      </c>
      <c r="K303" s="14"/>
    </row>
    <row r="304" spans="1:11">
      <c r="A304">
        <f t="shared" si="79"/>
        <v>2026</v>
      </c>
      <c r="B304" t="str">
        <f t="shared" si="80"/>
        <v>ma</v>
      </c>
      <c r="C304">
        <f t="shared" si="85"/>
        <v>29</v>
      </c>
      <c r="D304" t="s">
        <v>1496</v>
      </c>
      <c r="E304" s="14">
        <v>46315</v>
      </c>
      <c r="F304" t="str">
        <f t="shared" si="82"/>
        <v>ordinario_s29_ma</v>
      </c>
      <c r="G304" s="15" t="str">
        <f t="shared" si="83"/>
        <v>"20/10/2026": "ordinario_s29_ma",</v>
      </c>
      <c r="H304" t="str">
        <f t="shared" si="77"/>
        <v/>
      </c>
      <c r="K304" s="14"/>
    </row>
    <row r="305" spans="1:11">
      <c r="A305">
        <f t="shared" si="79"/>
        <v>2026</v>
      </c>
      <c r="B305" t="str">
        <f t="shared" si="80"/>
        <v>mi</v>
      </c>
      <c r="C305">
        <f t="shared" si="85"/>
        <v>29</v>
      </c>
      <c r="D305" t="s">
        <v>1496</v>
      </c>
      <c r="E305" s="14">
        <v>46316</v>
      </c>
      <c r="F305" t="str">
        <f t="shared" si="82"/>
        <v>ordinario_s29_mi</v>
      </c>
      <c r="G305" s="15" t="str">
        <f t="shared" si="83"/>
        <v>"21/10/2026": "ordinario_s29_mi",</v>
      </c>
      <c r="H305" t="str">
        <f t="shared" si="77"/>
        <v/>
      </c>
      <c r="K305" s="14"/>
    </row>
    <row r="306" spans="1:11">
      <c r="A306">
        <f t="shared" si="79"/>
        <v>2026</v>
      </c>
      <c r="B306" t="str">
        <f t="shared" si="80"/>
        <v>ju</v>
      </c>
      <c r="C306">
        <f t="shared" si="85"/>
        <v>29</v>
      </c>
      <c r="D306" t="s">
        <v>1496</v>
      </c>
      <c r="E306" s="14">
        <v>46317</v>
      </c>
      <c r="F306" t="str">
        <f t="shared" si="82"/>
        <v>ordinario_s29_ju</v>
      </c>
      <c r="G306" s="15" t="str">
        <f t="shared" si="83"/>
        <v>"22/10/2026": "ordinario_s29_ju",</v>
      </c>
      <c r="H306" t="str">
        <f t="shared" si="77"/>
        <v/>
      </c>
      <c r="K306" s="14"/>
    </row>
    <row r="307" spans="1:11">
      <c r="A307">
        <f t="shared" si="79"/>
        <v>2026</v>
      </c>
      <c r="B307" t="str">
        <f t="shared" si="80"/>
        <v>vi</v>
      </c>
      <c r="C307">
        <f t="shared" si="85"/>
        <v>29</v>
      </c>
      <c r="D307" t="s">
        <v>1496</v>
      </c>
      <c r="E307" s="14">
        <v>46318</v>
      </c>
      <c r="F307" t="str">
        <f t="shared" si="82"/>
        <v>ordinario_s29_vi</v>
      </c>
      <c r="G307" s="15" t="str">
        <f t="shared" si="83"/>
        <v>"23/10/2026": "ordinario_s29_vi",</v>
      </c>
      <c r="H307" t="str">
        <f t="shared" si="77"/>
        <v/>
      </c>
      <c r="K307" s="14"/>
    </row>
    <row r="308" spans="1:11">
      <c r="A308">
        <f t="shared" si="79"/>
        <v>2026</v>
      </c>
      <c r="B308" t="str">
        <f t="shared" si="80"/>
        <v>sa</v>
      </c>
      <c r="C308">
        <f t="shared" si="85"/>
        <v>29</v>
      </c>
      <c r="D308" t="s">
        <v>1496</v>
      </c>
      <c r="E308" s="14">
        <v>46319</v>
      </c>
      <c r="F308" t="str">
        <f t="shared" si="82"/>
        <v>ordinario_s29_sa</v>
      </c>
      <c r="G308" s="15" t="str">
        <f t="shared" si="83"/>
        <v>"24/10/2026": "ordinario_s29_sa",</v>
      </c>
      <c r="H308" t="str">
        <f t="shared" si="77"/>
        <v/>
      </c>
      <c r="K308" s="14"/>
    </row>
    <row r="309" spans="1:11">
      <c r="A309">
        <f t="shared" si="79"/>
        <v>2026</v>
      </c>
      <c r="B309" t="str">
        <f t="shared" si="80"/>
        <v>do</v>
      </c>
      <c r="C309">
        <f>C308+1</f>
        <v>30</v>
      </c>
      <c r="D309" t="s">
        <v>1496</v>
      </c>
      <c r="E309" s="14">
        <v>46320</v>
      </c>
      <c r="F309" t="str">
        <f t="shared" si="82"/>
        <v>ordinario_s30_do</v>
      </c>
      <c r="G309" s="15" t="str">
        <f t="shared" si="83"/>
        <v>"25/10/2026": "ordinario_s30_do",</v>
      </c>
      <c r="H309" t="str">
        <f t="shared" si="77"/>
        <v>// TIEMPO ORDINARIO SEMANA 30</v>
      </c>
      <c r="K309" s="14"/>
    </row>
    <row r="310" spans="1:11">
      <c r="A310">
        <f t="shared" si="79"/>
        <v>2026</v>
      </c>
      <c r="B310" t="str">
        <f t="shared" si="80"/>
        <v>lu</v>
      </c>
      <c r="C310">
        <f t="shared" ref="C310:C316" si="86">+C309</f>
        <v>30</v>
      </c>
      <c r="D310" t="s">
        <v>1496</v>
      </c>
      <c r="E310" s="14">
        <v>46321</v>
      </c>
      <c r="F310" t="str">
        <f t="shared" si="82"/>
        <v>ordinario_s30_lu</v>
      </c>
      <c r="G310" s="15" t="str">
        <f t="shared" si="83"/>
        <v>"26/10/2026": "ordinario_s30_lu",</v>
      </c>
      <c r="H310" t="str">
        <f t="shared" si="77"/>
        <v/>
      </c>
      <c r="K310" s="14"/>
    </row>
    <row r="311" spans="1:11">
      <c r="A311">
        <f t="shared" si="79"/>
        <v>2026</v>
      </c>
      <c r="B311" t="str">
        <f t="shared" si="80"/>
        <v>ma</v>
      </c>
      <c r="C311">
        <f t="shared" si="86"/>
        <v>30</v>
      </c>
      <c r="D311" t="s">
        <v>1496</v>
      </c>
      <c r="E311" s="14">
        <v>46322</v>
      </c>
      <c r="F311" t="str">
        <f t="shared" si="82"/>
        <v>ordinario_s30_ma</v>
      </c>
      <c r="G311" s="15" t="str">
        <f t="shared" si="83"/>
        <v>"27/10/2026": "ordinario_s30_ma",</v>
      </c>
      <c r="H311" t="str">
        <f t="shared" si="77"/>
        <v/>
      </c>
      <c r="K311" s="14"/>
    </row>
    <row r="312" spans="1:11">
      <c r="A312">
        <f t="shared" si="79"/>
        <v>2026</v>
      </c>
      <c r="B312" t="str">
        <f t="shared" si="80"/>
        <v>mi</v>
      </c>
      <c r="C312">
        <f t="shared" si="86"/>
        <v>30</v>
      </c>
      <c r="D312" t="s">
        <v>1496</v>
      </c>
      <c r="E312" s="14">
        <v>46323</v>
      </c>
      <c r="F312" t="str">
        <f t="shared" si="82"/>
        <v>ordinario_s30_mi</v>
      </c>
      <c r="G312" s="15" t="str">
        <f t="shared" si="83"/>
        <v>"28/10/2026": "ordinario_s30_mi",</v>
      </c>
      <c r="H312" t="str">
        <f t="shared" si="77"/>
        <v/>
      </c>
      <c r="K312" s="14"/>
    </row>
    <row r="313" spans="1:11">
      <c r="A313">
        <f t="shared" si="79"/>
        <v>2026</v>
      </c>
      <c r="B313" t="str">
        <f t="shared" si="80"/>
        <v>ju</v>
      </c>
      <c r="C313">
        <f t="shared" si="86"/>
        <v>30</v>
      </c>
      <c r="D313" t="s">
        <v>1496</v>
      </c>
      <c r="E313" s="14">
        <v>46324</v>
      </c>
      <c r="F313" t="str">
        <f t="shared" si="82"/>
        <v>ordinario_s30_ju</v>
      </c>
      <c r="G313" s="15" t="str">
        <f t="shared" si="83"/>
        <v>"29/10/2026": "ordinario_s30_ju",</v>
      </c>
      <c r="H313" t="str">
        <f t="shared" si="77"/>
        <v/>
      </c>
      <c r="K313" s="14"/>
    </row>
    <row r="314" spans="1:11">
      <c r="A314">
        <f t="shared" si="79"/>
        <v>2026</v>
      </c>
      <c r="B314" t="str">
        <f t="shared" si="80"/>
        <v>vi</v>
      </c>
      <c r="C314">
        <f t="shared" si="86"/>
        <v>30</v>
      </c>
      <c r="D314" t="s">
        <v>1496</v>
      </c>
      <c r="E314" s="14">
        <v>46325</v>
      </c>
      <c r="F314" t="str">
        <f t="shared" si="82"/>
        <v>ordinario_s30_vi</v>
      </c>
      <c r="G314" s="15" t="str">
        <f t="shared" si="83"/>
        <v>"30/10/2026": "ordinario_s30_vi",</v>
      </c>
      <c r="H314" t="str">
        <f t="shared" si="77"/>
        <v/>
      </c>
      <c r="K314" s="14"/>
    </row>
    <row r="315" spans="1:11">
      <c r="A315">
        <f t="shared" si="79"/>
        <v>2026</v>
      </c>
      <c r="B315" t="str">
        <f t="shared" si="80"/>
        <v>sa</v>
      </c>
      <c r="C315">
        <f t="shared" si="86"/>
        <v>30</v>
      </c>
      <c r="D315" t="s">
        <v>1496</v>
      </c>
      <c r="E315" s="14">
        <v>46326</v>
      </c>
      <c r="F315" t="str">
        <f t="shared" si="82"/>
        <v>ordinario_s30_sa</v>
      </c>
      <c r="G315" s="15" t="str">
        <f t="shared" si="83"/>
        <v>"31/10/2026": "ordinario_s30_sa",</v>
      </c>
      <c r="H315" t="str">
        <f t="shared" si="77"/>
        <v/>
      </c>
      <c r="K315" s="14"/>
    </row>
    <row r="316" spans="1:11">
      <c r="A316">
        <f t="shared" si="79"/>
        <v>2026</v>
      </c>
      <c r="B316" t="str">
        <f t="shared" si="80"/>
        <v>do</v>
      </c>
      <c r="C316">
        <f>C315+1</f>
        <v>31</v>
      </c>
      <c r="D316" t="s">
        <v>1496</v>
      </c>
      <c r="E316" s="14">
        <v>46327</v>
      </c>
      <c r="F316" t="str">
        <f t="shared" si="82"/>
        <v>ordinario_s31_do</v>
      </c>
      <c r="G316" s="15" t="str">
        <f t="shared" si="83"/>
        <v>"01/11/2026": "ordinario_s31_do",</v>
      </c>
      <c r="H316" t="str">
        <f t="shared" si="77"/>
        <v>// TIEMPO ORDINARIO SEMANA 31</v>
      </c>
      <c r="K316" s="14"/>
    </row>
    <row r="317" spans="1:11">
      <c r="A317">
        <f t="shared" si="79"/>
        <v>2026</v>
      </c>
      <c r="B317" t="str">
        <f t="shared" si="80"/>
        <v>lu</v>
      </c>
      <c r="C317">
        <f t="shared" ref="C317:C323" si="87">+C316</f>
        <v>31</v>
      </c>
      <c r="D317" t="s">
        <v>1496</v>
      </c>
      <c r="E317" s="14">
        <v>46328</v>
      </c>
      <c r="F317" t="str">
        <f t="shared" si="82"/>
        <v>ordinario_s31_lu</v>
      </c>
      <c r="G317" s="15" t="str">
        <f t="shared" si="83"/>
        <v>"02/11/2026": "ordinario_s31_lu",</v>
      </c>
      <c r="H317" t="str">
        <f t="shared" si="77"/>
        <v/>
      </c>
      <c r="K317" s="14"/>
    </row>
    <row r="318" spans="1:11">
      <c r="A318">
        <f t="shared" si="79"/>
        <v>2026</v>
      </c>
      <c r="B318" t="str">
        <f t="shared" si="80"/>
        <v>ma</v>
      </c>
      <c r="C318">
        <f t="shared" si="87"/>
        <v>31</v>
      </c>
      <c r="D318" t="s">
        <v>1496</v>
      </c>
      <c r="E318" s="14">
        <v>46329</v>
      </c>
      <c r="F318" t="str">
        <f t="shared" si="82"/>
        <v>ordinario_s31_ma</v>
      </c>
      <c r="G318" s="15" t="str">
        <f t="shared" si="83"/>
        <v>"03/11/2026": "ordinario_s31_ma",</v>
      </c>
      <c r="H318" t="str">
        <f t="shared" si="77"/>
        <v/>
      </c>
      <c r="K318" s="14"/>
    </row>
    <row r="319" spans="1:11">
      <c r="A319">
        <f t="shared" si="79"/>
        <v>2026</v>
      </c>
      <c r="B319" t="str">
        <f t="shared" si="80"/>
        <v>mi</v>
      </c>
      <c r="C319">
        <f t="shared" si="87"/>
        <v>31</v>
      </c>
      <c r="D319" t="s">
        <v>1496</v>
      </c>
      <c r="E319" s="14">
        <v>46330</v>
      </c>
      <c r="F319" t="str">
        <f t="shared" si="82"/>
        <v>ordinario_s31_mi</v>
      </c>
      <c r="G319" s="15" t="str">
        <f t="shared" si="83"/>
        <v>"04/11/2026": "ordinario_s31_mi",</v>
      </c>
      <c r="H319" t="str">
        <f t="shared" si="77"/>
        <v/>
      </c>
      <c r="K319" s="14"/>
    </row>
    <row r="320" spans="1:11">
      <c r="A320">
        <f t="shared" si="79"/>
        <v>2026</v>
      </c>
      <c r="B320" t="str">
        <f t="shared" si="80"/>
        <v>ju</v>
      </c>
      <c r="C320">
        <f t="shared" si="87"/>
        <v>31</v>
      </c>
      <c r="D320" t="s">
        <v>1496</v>
      </c>
      <c r="E320" s="14">
        <v>46331</v>
      </c>
      <c r="F320" t="str">
        <f t="shared" si="82"/>
        <v>ordinario_s31_ju</v>
      </c>
      <c r="G320" s="15" t="str">
        <f t="shared" si="83"/>
        <v>"05/11/2026": "ordinario_s31_ju",</v>
      </c>
      <c r="H320" t="str">
        <f t="shared" si="77"/>
        <v/>
      </c>
      <c r="K320" s="14"/>
    </row>
    <row r="321" spans="1:11">
      <c r="A321">
        <f t="shared" si="79"/>
        <v>2026</v>
      </c>
      <c r="B321" t="str">
        <f t="shared" si="80"/>
        <v>vi</v>
      </c>
      <c r="C321">
        <f t="shared" si="87"/>
        <v>31</v>
      </c>
      <c r="D321" t="s">
        <v>1496</v>
      </c>
      <c r="E321" s="14">
        <v>46332</v>
      </c>
      <c r="F321" t="str">
        <f t="shared" si="82"/>
        <v>ordinario_s31_vi</v>
      </c>
      <c r="G321" s="15" t="str">
        <f t="shared" si="83"/>
        <v>"06/11/2026": "ordinario_s31_vi",</v>
      </c>
      <c r="H321" t="str">
        <f t="shared" si="77"/>
        <v/>
      </c>
      <c r="K321" s="14"/>
    </row>
    <row r="322" spans="1:11">
      <c r="A322">
        <f t="shared" si="79"/>
        <v>2026</v>
      </c>
      <c r="B322" t="str">
        <f t="shared" si="80"/>
        <v>sa</v>
      </c>
      <c r="C322">
        <f t="shared" si="87"/>
        <v>31</v>
      </c>
      <c r="D322" t="s">
        <v>1496</v>
      </c>
      <c r="E322" s="14">
        <v>46333</v>
      </c>
      <c r="F322" t="str">
        <f t="shared" si="82"/>
        <v>ordinario_s31_sa</v>
      </c>
      <c r="G322" s="15" t="str">
        <f t="shared" si="83"/>
        <v>"07/11/2026": "ordinario_s31_sa",</v>
      </c>
      <c r="H322" t="str">
        <f t="shared" si="77"/>
        <v/>
      </c>
      <c r="K322" s="14"/>
    </row>
    <row r="323" spans="1:11">
      <c r="A323">
        <f t="shared" si="79"/>
        <v>2026</v>
      </c>
      <c r="B323" t="str">
        <f t="shared" si="80"/>
        <v>do</v>
      </c>
      <c r="C323">
        <f>C322+1</f>
        <v>32</v>
      </c>
      <c r="D323" t="s">
        <v>1496</v>
      </c>
      <c r="E323" s="14">
        <v>46334</v>
      </c>
      <c r="F323" t="str">
        <f t="shared" si="82"/>
        <v>ordinario_s32_do</v>
      </c>
      <c r="G323" s="15" t="str">
        <f t="shared" si="83"/>
        <v>"08/11/2026": "ordinario_s32_do",</v>
      </c>
      <c r="H323" t="str">
        <f t="shared" si="77"/>
        <v>// TIEMPO ORDINARIO SEMANA 32</v>
      </c>
      <c r="K323" s="14"/>
    </row>
    <row r="324" spans="1:11">
      <c r="A324">
        <f t="shared" si="79"/>
        <v>2026</v>
      </c>
      <c r="B324" t="str">
        <f t="shared" si="80"/>
        <v>lu</v>
      </c>
      <c r="C324">
        <f t="shared" ref="C324:C330" si="88">+C323</f>
        <v>32</v>
      </c>
      <c r="D324" t="s">
        <v>1496</v>
      </c>
      <c r="E324" s="14">
        <v>46335</v>
      </c>
      <c r="F324" t="str">
        <f t="shared" si="82"/>
        <v>ordinario_s32_lu</v>
      </c>
      <c r="G324" s="15" t="str">
        <f t="shared" si="83"/>
        <v>"09/11/2026": "ordinario_s32_lu",</v>
      </c>
      <c r="H324" t="str">
        <f t="shared" si="77"/>
        <v/>
      </c>
      <c r="K324" s="14"/>
    </row>
    <row r="325" spans="1:11">
      <c r="A325">
        <f t="shared" si="79"/>
        <v>2026</v>
      </c>
      <c r="B325" t="str">
        <f t="shared" si="80"/>
        <v>ma</v>
      </c>
      <c r="C325">
        <f t="shared" si="88"/>
        <v>32</v>
      </c>
      <c r="D325" t="s">
        <v>1496</v>
      </c>
      <c r="E325" s="14">
        <v>46336</v>
      </c>
      <c r="F325" t="str">
        <f t="shared" si="82"/>
        <v>ordinario_s32_ma</v>
      </c>
      <c r="G325" s="15" t="str">
        <f t="shared" si="83"/>
        <v>"10/11/2026": "ordinario_s32_ma",</v>
      </c>
      <c r="H325" t="str">
        <f t="shared" si="77"/>
        <v/>
      </c>
      <c r="K325" s="14"/>
    </row>
    <row r="326" spans="1:11">
      <c r="A326">
        <f t="shared" si="79"/>
        <v>2026</v>
      </c>
      <c r="B326" t="str">
        <f t="shared" si="80"/>
        <v>mi</v>
      </c>
      <c r="C326">
        <f t="shared" si="88"/>
        <v>32</v>
      </c>
      <c r="D326" t="s">
        <v>1496</v>
      </c>
      <c r="E326" s="14">
        <v>46337</v>
      </c>
      <c r="F326" t="str">
        <f t="shared" si="82"/>
        <v>ordinario_s32_mi</v>
      </c>
      <c r="G326" s="15" t="str">
        <f t="shared" si="83"/>
        <v>"11/11/2026": "ordinario_s32_mi",</v>
      </c>
      <c r="H326" t="str">
        <f t="shared" si="77"/>
        <v/>
      </c>
      <c r="K326" s="14"/>
    </row>
    <row r="327" spans="1:11">
      <c r="A327">
        <f t="shared" si="79"/>
        <v>2026</v>
      </c>
      <c r="B327" t="str">
        <f t="shared" si="80"/>
        <v>ju</v>
      </c>
      <c r="C327">
        <f t="shared" si="88"/>
        <v>32</v>
      </c>
      <c r="D327" t="s">
        <v>1496</v>
      </c>
      <c r="E327" s="14">
        <v>46338</v>
      </c>
      <c r="F327" t="str">
        <f t="shared" si="82"/>
        <v>ordinario_s32_ju</v>
      </c>
      <c r="G327" s="15" t="str">
        <f t="shared" si="83"/>
        <v>"12/11/2026": "ordinario_s32_ju",</v>
      </c>
      <c r="H327" t="str">
        <f t="shared" si="77"/>
        <v/>
      </c>
      <c r="K327" s="14"/>
    </row>
    <row r="328" spans="1:11">
      <c r="A328">
        <f t="shared" si="79"/>
        <v>2026</v>
      </c>
      <c r="B328" t="str">
        <f t="shared" si="80"/>
        <v>vi</v>
      </c>
      <c r="C328">
        <f t="shared" si="88"/>
        <v>32</v>
      </c>
      <c r="D328" t="s">
        <v>1496</v>
      </c>
      <c r="E328" s="14">
        <v>46339</v>
      </c>
      <c r="F328" t="str">
        <f t="shared" si="82"/>
        <v>ordinario_s32_vi</v>
      </c>
      <c r="G328" s="15" t="str">
        <f t="shared" si="83"/>
        <v>"13/11/2026": "ordinario_s32_vi",</v>
      </c>
      <c r="H328" t="str">
        <f t="shared" si="77"/>
        <v/>
      </c>
      <c r="K328" s="14"/>
    </row>
    <row r="329" spans="1:11">
      <c r="A329">
        <f t="shared" si="79"/>
        <v>2026</v>
      </c>
      <c r="B329" t="str">
        <f t="shared" si="80"/>
        <v>sa</v>
      </c>
      <c r="C329">
        <f t="shared" si="88"/>
        <v>32</v>
      </c>
      <c r="D329" t="s">
        <v>1496</v>
      </c>
      <c r="E329" s="14">
        <v>46340</v>
      </c>
      <c r="F329" t="str">
        <f t="shared" si="82"/>
        <v>ordinario_s32_sa</v>
      </c>
      <c r="G329" s="15" t="str">
        <f t="shared" si="83"/>
        <v>"14/11/2026": "ordinario_s32_sa",</v>
      </c>
      <c r="H329" t="str">
        <f t="shared" si="77"/>
        <v/>
      </c>
      <c r="K329" s="14"/>
    </row>
    <row r="330" spans="1:11">
      <c r="A330">
        <f t="shared" si="79"/>
        <v>2026</v>
      </c>
      <c r="B330" t="str">
        <f t="shared" si="80"/>
        <v>do</v>
      </c>
      <c r="C330">
        <f>C329+1</f>
        <v>33</v>
      </c>
      <c r="D330" t="s">
        <v>1496</v>
      </c>
      <c r="E330" s="14">
        <v>46341</v>
      </c>
      <c r="F330" t="str">
        <f t="shared" si="82"/>
        <v>ordinario_s33_do</v>
      </c>
      <c r="G330" s="15" t="str">
        <f t="shared" si="83"/>
        <v>"15/11/2026": "ordinario_s33_do",</v>
      </c>
      <c r="H330" t="str">
        <f t="shared" si="77"/>
        <v>// TIEMPO ORDINARIO SEMANA 33</v>
      </c>
      <c r="K330" s="14"/>
    </row>
    <row r="331" spans="1:11">
      <c r="A331">
        <f t="shared" si="79"/>
        <v>2026</v>
      </c>
      <c r="B331" t="str">
        <f t="shared" si="80"/>
        <v>lu</v>
      </c>
      <c r="C331">
        <f t="shared" ref="C331:C337" si="89">+C330</f>
        <v>33</v>
      </c>
      <c r="D331" t="s">
        <v>1496</v>
      </c>
      <c r="E331" s="14">
        <v>46342</v>
      </c>
      <c r="F331" t="str">
        <f t="shared" si="82"/>
        <v>ordinario_s33_lu</v>
      </c>
      <c r="G331" s="15" t="str">
        <f t="shared" si="83"/>
        <v>"16/11/2026": "ordinario_s33_lu",</v>
      </c>
      <c r="H331" t="str">
        <f t="shared" si="77"/>
        <v/>
      </c>
      <c r="K331" s="14"/>
    </row>
    <row r="332" spans="1:11">
      <c r="A332">
        <f t="shared" si="79"/>
        <v>2026</v>
      </c>
      <c r="B332" t="str">
        <f t="shared" si="80"/>
        <v>ma</v>
      </c>
      <c r="C332">
        <f t="shared" si="89"/>
        <v>33</v>
      </c>
      <c r="D332" t="s">
        <v>1496</v>
      </c>
      <c r="E332" s="14">
        <v>46343</v>
      </c>
      <c r="F332" t="str">
        <f t="shared" si="82"/>
        <v>ordinario_s33_ma</v>
      </c>
      <c r="G332" s="15" t="str">
        <f t="shared" si="83"/>
        <v>"17/11/2026": "ordinario_s33_ma",</v>
      </c>
      <c r="H332" t="str">
        <f t="shared" si="77"/>
        <v/>
      </c>
      <c r="K332" s="14"/>
    </row>
    <row r="333" spans="1:11">
      <c r="A333">
        <f t="shared" si="79"/>
        <v>2026</v>
      </c>
      <c r="B333" t="str">
        <f t="shared" si="80"/>
        <v>mi</v>
      </c>
      <c r="C333">
        <f t="shared" si="89"/>
        <v>33</v>
      </c>
      <c r="D333" t="s">
        <v>1496</v>
      </c>
      <c r="E333" s="14">
        <v>46344</v>
      </c>
      <c r="F333" t="str">
        <f t="shared" si="82"/>
        <v>ordinario_s33_mi</v>
      </c>
      <c r="G333" s="15" t="str">
        <f t="shared" si="83"/>
        <v>"18/11/2026": "ordinario_s33_mi",</v>
      </c>
      <c r="H333" t="str">
        <f t="shared" si="77"/>
        <v/>
      </c>
      <c r="K333" s="14"/>
    </row>
    <row r="334" spans="1:11">
      <c r="A334">
        <f t="shared" si="79"/>
        <v>2026</v>
      </c>
      <c r="B334" t="str">
        <f t="shared" si="80"/>
        <v>ju</v>
      </c>
      <c r="C334">
        <f t="shared" si="89"/>
        <v>33</v>
      </c>
      <c r="D334" t="s">
        <v>1496</v>
      </c>
      <c r="E334" s="14">
        <v>46345</v>
      </c>
      <c r="F334" t="str">
        <f t="shared" si="82"/>
        <v>ordinario_s33_ju</v>
      </c>
      <c r="G334" s="15" t="str">
        <f t="shared" si="83"/>
        <v>"19/11/2026": "ordinario_s33_ju",</v>
      </c>
      <c r="H334" t="str">
        <f t="shared" si="77"/>
        <v/>
      </c>
      <c r="K334" s="14"/>
    </row>
    <row r="335" spans="1:11">
      <c r="A335">
        <f t="shared" si="79"/>
        <v>2026</v>
      </c>
      <c r="B335" t="str">
        <f t="shared" si="80"/>
        <v>vi</v>
      </c>
      <c r="C335">
        <f t="shared" si="89"/>
        <v>33</v>
      </c>
      <c r="D335" t="s">
        <v>1496</v>
      </c>
      <c r="E335" s="14">
        <v>46346</v>
      </c>
      <c r="F335" t="str">
        <f t="shared" si="82"/>
        <v>ordinario_s33_vi</v>
      </c>
      <c r="G335" s="15" t="str">
        <f t="shared" si="83"/>
        <v>"20/11/2026": "ordinario_s33_vi",</v>
      </c>
      <c r="H335" t="str">
        <f t="shared" si="77"/>
        <v/>
      </c>
      <c r="K335" s="14"/>
    </row>
    <row r="336" spans="1:11">
      <c r="A336">
        <f t="shared" si="79"/>
        <v>2026</v>
      </c>
      <c r="B336" t="str">
        <f t="shared" si="80"/>
        <v>sa</v>
      </c>
      <c r="C336">
        <f t="shared" si="89"/>
        <v>33</v>
      </c>
      <c r="D336" t="s">
        <v>1496</v>
      </c>
      <c r="E336" s="14">
        <v>46347</v>
      </c>
      <c r="F336" t="str">
        <f t="shared" si="82"/>
        <v>ordinario_s33_sa</v>
      </c>
      <c r="G336" s="15" t="str">
        <f t="shared" si="83"/>
        <v>"21/11/2026": "ordinario_s33_sa",</v>
      </c>
      <c r="H336" t="str">
        <f t="shared" si="77"/>
        <v/>
      </c>
      <c r="K336" s="14"/>
    </row>
    <row r="337" spans="1:11">
      <c r="A337">
        <f t="shared" si="79"/>
        <v>2026</v>
      </c>
      <c r="B337" t="str">
        <f t="shared" si="80"/>
        <v>do</v>
      </c>
      <c r="C337">
        <f>C336+1</f>
        <v>34</v>
      </c>
      <c r="D337" t="s">
        <v>1496</v>
      </c>
      <c r="E337" s="14">
        <v>46348</v>
      </c>
      <c r="F337" t="str">
        <f t="shared" si="82"/>
        <v>ordinario_s34_do</v>
      </c>
      <c r="G337" s="15" t="str">
        <f t="shared" si="83"/>
        <v>"22/11/2026": "ordinario_s34_do",</v>
      </c>
      <c r="H337" s="19" t="s">
        <v>1540</v>
      </c>
      <c r="I337" t="s">
        <v>1539</v>
      </c>
      <c r="K337" s="14"/>
    </row>
    <row r="338" spans="1:11">
      <c r="A338">
        <f t="shared" si="79"/>
        <v>2026</v>
      </c>
      <c r="B338" t="str">
        <f t="shared" si="80"/>
        <v>lu</v>
      </c>
      <c r="C338">
        <f t="shared" ref="C338:C344" si="90">+C337</f>
        <v>34</v>
      </c>
      <c r="D338" t="s">
        <v>1496</v>
      </c>
      <c r="E338" s="14">
        <v>46349</v>
      </c>
      <c r="F338" t="str">
        <f t="shared" si="82"/>
        <v>ordinario_s34_lu</v>
      </c>
      <c r="G338" s="15" t="str">
        <f t="shared" si="83"/>
        <v>"23/11/2026": "ordinario_s34_lu",</v>
      </c>
      <c r="H338" t="str">
        <f t="shared" ref="H289:H343" si="91">IF(B338="do", "// " &amp; UPPER(D338) &amp; " SEMANA " &amp; C338, "")</f>
        <v/>
      </c>
      <c r="K338" s="14"/>
    </row>
    <row r="339" spans="1:11">
      <c r="A339">
        <f t="shared" si="79"/>
        <v>2026</v>
      </c>
      <c r="B339" t="str">
        <f t="shared" si="80"/>
        <v>ma</v>
      </c>
      <c r="C339">
        <f t="shared" si="90"/>
        <v>34</v>
      </c>
      <c r="D339" t="s">
        <v>1496</v>
      </c>
      <c r="E339" s="14">
        <v>46350</v>
      </c>
      <c r="F339" t="str">
        <f t="shared" si="82"/>
        <v>ordinario_s34_ma</v>
      </c>
      <c r="G339" s="15" t="str">
        <f t="shared" si="83"/>
        <v>"24/11/2026": "ordinario_s34_ma",</v>
      </c>
      <c r="H339" t="str">
        <f t="shared" si="91"/>
        <v/>
      </c>
      <c r="K339" s="14"/>
    </row>
    <row r="340" spans="1:11">
      <c r="A340">
        <f t="shared" si="79"/>
        <v>2026</v>
      </c>
      <c r="B340" t="str">
        <f t="shared" si="80"/>
        <v>mi</v>
      </c>
      <c r="C340">
        <f t="shared" si="90"/>
        <v>34</v>
      </c>
      <c r="D340" t="s">
        <v>1496</v>
      </c>
      <c r="E340" s="14">
        <v>46351</v>
      </c>
      <c r="F340" t="str">
        <f t="shared" si="82"/>
        <v>ordinario_s34_mi</v>
      </c>
      <c r="G340" s="15" t="str">
        <f t="shared" si="83"/>
        <v>"25/11/2026": "ordinario_s34_mi",</v>
      </c>
      <c r="H340" t="str">
        <f t="shared" si="91"/>
        <v/>
      </c>
      <c r="K340" s="14"/>
    </row>
    <row r="341" spans="1:11">
      <c r="A341">
        <f t="shared" si="79"/>
        <v>2026</v>
      </c>
      <c r="B341" t="str">
        <f t="shared" si="80"/>
        <v>ju</v>
      </c>
      <c r="C341">
        <f t="shared" si="90"/>
        <v>34</v>
      </c>
      <c r="D341" t="s">
        <v>1496</v>
      </c>
      <c r="E341" s="14">
        <v>46352</v>
      </c>
      <c r="F341" t="str">
        <f t="shared" si="82"/>
        <v>ordinario_s34_ju</v>
      </c>
      <c r="G341" s="15" t="str">
        <f t="shared" si="83"/>
        <v>"26/11/2026": "ordinario_s34_ju",</v>
      </c>
      <c r="H341" t="str">
        <f t="shared" si="91"/>
        <v/>
      </c>
      <c r="K341" s="14"/>
    </row>
    <row r="342" spans="1:11">
      <c r="A342">
        <f t="shared" si="79"/>
        <v>2026</v>
      </c>
      <c r="B342" t="str">
        <f t="shared" si="80"/>
        <v>vi</v>
      </c>
      <c r="C342">
        <f t="shared" si="90"/>
        <v>34</v>
      </c>
      <c r="D342" t="s">
        <v>1496</v>
      </c>
      <c r="E342" s="14">
        <v>46353</v>
      </c>
      <c r="F342" t="str">
        <f t="shared" si="82"/>
        <v>ordinario_s34_vi</v>
      </c>
      <c r="G342" s="15" t="str">
        <f t="shared" si="83"/>
        <v>"27/11/2026": "ordinario_s34_vi",</v>
      </c>
      <c r="H342" t="str">
        <f t="shared" si="91"/>
        <v/>
      </c>
      <c r="K342" s="14"/>
    </row>
    <row r="343" spans="1:11">
      <c r="A343">
        <f t="shared" si="79"/>
        <v>2026</v>
      </c>
      <c r="B343" t="str">
        <f t="shared" si="80"/>
        <v>sa</v>
      </c>
      <c r="C343">
        <f t="shared" si="90"/>
        <v>34</v>
      </c>
      <c r="D343" t="s">
        <v>1496</v>
      </c>
      <c r="E343" s="14">
        <v>46354</v>
      </c>
      <c r="F343" t="str">
        <f t="shared" si="82"/>
        <v>ordinario_s34_sa</v>
      </c>
      <c r="G343" s="15" t="str">
        <f t="shared" si="83"/>
        <v>"28/11/2026": "ordinario_s34_sa",</v>
      </c>
      <c r="H343" t="str">
        <f t="shared" si="91"/>
        <v/>
      </c>
      <c r="K343" s="14"/>
    </row>
    <row r="344" spans="1:11">
      <c r="A344">
        <f t="shared" si="79"/>
        <v>2026</v>
      </c>
      <c r="B344" t="str">
        <f t="shared" si="80"/>
        <v>do</v>
      </c>
      <c r="C344">
        <v>1</v>
      </c>
      <c r="D344" t="s">
        <v>1494</v>
      </c>
      <c r="E344" s="14">
        <v>46355</v>
      </c>
      <c r="F344" t="str">
        <f t="shared" si="82"/>
        <v>adviento_s1_do</v>
      </c>
      <c r="G344" s="15" t="str">
        <f t="shared" si="83"/>
        <v>"29/11/2026": "adviento_s1_do",</v>
      </c>
      <c r="H344" t="str">
        <f>IF(B344="do", "// " &amp; UPPER(D344) &amp; " SEMANA " &amp; C344, "")</f>
        <v>// ADVIENTO SEMANA 1</v>
      </c>
      <c r="K344" s="14"/>
    </row>
    <row r="345" spans="1:11">
      <c r="A345">
        <f t="shared" si="79"/>
        <v>2026</v>
      </c>
      <c r="B345" t="str">
        <f t="shared" si="80"/>
        <v>lu</v>
      </c>
      <c r="C345">
        <f>C344</f>
        <v>1</v>
      </c>
      <c r="D345" t="s">
        <v>1494</v>
      </c>
      <c r="E345" s="14">
        <v>46356</v>
      </c>
      <c r="F345" t="str">
        <f t="shared" si="82"/>
        <v>adviento_s1_lu</v>
      </c>
      <c r="G345" s="15" t="str">
        <f t="shared" si="83"/>
        <v>"30/11/2026": "adviento_s1_lu",</v>
      </c>
      <c r="H345" t="str">
        <f t="shared" ref="H345:H392" si="92">IF(B345="do", "// " &amp; UPPER(D345) &amp; " SEMANA " &amp; C345, "")</f>
        <v/>
      </c>
    </row>
    <row r="346" spans="1:11">
      <c r="A346">
        <f t="shared" si="79"/>
        <v>2026</v>
      </c>
      <c r="B346" t="str">
        <f t="shared" si="80"/>
        <v>ma</v>
      </c>
      <c r="C346">
        <f t="shared" ref="C346:C350" si="93">C345</f>
        <v>1</v>
      </c>
      <c r="D346" t="s">
        <v>1494</v>
      </c>
      <c r="E346" s="14">
        <v>46357</v>
      </c>
      <c r="F346" t="str">
        <f t="shared" si="82"/>
        <v>adviento_s1_ma</v>
      </c>
      <c r="G346" s="15" t="str">
        <f t="shared" si="83"/>
        <v>"01/12/2026": "adviento_s1_ma",</v>
      </c>
      <c r="H346" t="str">
        <f t="shared" si="92"/>
        <v/>
      </c>
    </row>
    <row r="347" spans="1:11">
      <c r="A347">
        <f t="shared" si="79"/>
        <v>2026</v>
      </c>
      <c r="B347" t="str">
        <f t="shared" si="80"/>
        <v>mi</v>
      </c>
      <c r="C347">
        <f t="shared" si="93"/>
        <v>1</v>
      </c>
      <c r="D347" t="s">
        <v>1494</v>
      </c>
      <c r="E347" s="14">
        <v>46358</v>
      </c>
      <c r="F347" t="str">
        <f t="shared" si="82"/>
        <v>adviento_s1_mi</v>
      </c>
      <c r="G347" s="15" t="str">
        <f t="shared" si="83"/>
        <v>"02/12/2026": "adviento_s1_mi",</v>
      </c>
      <c r="H347" t="str">
        <f t="shared" si="92"/>
        <v/>
      </c>
    </row>
    <row r="348" spans="1:11">
      <c r="A348">
        <f t="shared" si="79"/>
        <v>2026</v>
      </c>
      <c r="B348" t="str">
        <f t="shared" si="80"/>
        <v>ju</v>
      </c>
      <c r="C348">
        <f t="shared" si="93"/>
        <v>1</v>
      </c>
      <c r="D348" t="s">
        <v>1494</v>
      </c>
      <c r="E348" s="14">
        <v>46359</v>
      </c>
      <c r="F348" t="str">
        <f t="shared" si="82"/>
        <v>adviento_s1_ju</v>
      </c>
      <c r="G348" s="15" t="str">
        <f t="shared" si="83"/>
        <v>"03/12/2026": "adviento_s1_ju",</v>
      </c>
      <c r="H348" t="str">
        <f t="shared" si="92"/>
        <v/>
      </c>
    </row>
    <row r="349" spans="1:11">
      <c r="A349">
        <f t="shared" si="79"/>
        <v>2026</v>
      </c>
      <c r="B349" t="str">
        <f t="shared" si="80"/>
        <v>vi</v>
      </c>
      <c r="C349">
        <f t="shared" si="93"/>
        <v>1</v>
      </c>
      <c r="D349" t="s">
        <v>1494</v>
      </c>
      <c r="E349" s="14">
        <v>46360</v>
      </c>
      <c r="F349" t="str">
        <f t="shared" si="82"/>
        <v>adviento_s1_vi</v>
      </c>
      <c r="G349" s="15" t="str">
        <f t="shared" si="83"/>
        <v>"04/12/2026": "adviento_s1_vi",</v>
      </c>
      <c r="H349" t="str">
        <f t="shared" si="92"/>
        <v/>
      </c>
    </row>
    <row r="350" spans="1:11">
      <c r="A350">
        <f t="shared" si="79"/>
        <v>2026</v>
      </c>
      <c r="B350" t="str">
        <f t="shared" si="80"/>
        <v>sa</v>
      </c>
      <c r="C350">
        <f t="shared" si="93"/>
        <v>1</v>
      </c>
      <c r="D350" t="s">
        <v>1494</v>
      </c>
      <c r="E350" s="14">
        <v>46361</v>
      </c>
      <c r="F350" t="str">
        <f t="shared" si="82"/>
        <v>adviento_s1_sa</v>
      </c>
      <c r="G350" s="15" t="str">
        <f t="shared" si="83"/>
        <v>"05/12/2026": "adviento_s1_sa",</v>
      </c>
      <c r="H350" t="str">
        <f t="shared" si="92"/>
        <v/>
      </c>
    </row>
    <row r="351" spans="1:11">
      <c r="A351">
        <f t="shared" si="79"/>
        <v>2026</v>
      </c>
      <c r="B351" t="str">
        <f t="shared" si="80"/>
        <v>do</v>
      </c>
      <c r="C351">
        <f>C350+1</f>
        <v>2</v>
      </c>
      <c r="D351" t="s">
        <v>1494</v>
      </c>
      <c r="E351" s="14">
        <v>46362</v>
      </c>
      <c r="F351" t="str">
        <f t="shared" si="82"/>
        <v>adviento_s2_do</v>
      </c>
      <c r="G351" s="15" t="str">
        <f t="shared" si="83"/>
        <v>"06/12/2026": "adviento_s2_do",</v>
      </c>
      <c r="H351" t="str">
        <f t="shared" si="92"/>
        <v>// ADVIENTO SEMANA 2</v>
      </c>
    </row>
    <row r="352" spans="1:11">
      <c r="A352">
        <f t="shared" si="79"/>
        <v>2026</v>
      </c>
      <c r="B352" t="str">
        <f t="shared" si="80"/>
        <v>lu</v>
      </c>
      <c r="C352">
        <f>C351</f>
        <v>2</v>
      </c>
      <c r="D352" t="s">
        <v>1494</v>
      </c>
      <c r="E352" s="14">
        <v>46363</v>
      </c>
      <c r="F352" t="str">
        <f t="shared" si="82"/>
        <v>adviento_s2_lu</v>
      </c>
      <c r="G352" s="15" t="str">
        <f t="shared" si="83"/>
        <v>"07/12/2026": "adviento_s2_lu",</v>
      </c>
      <c r="H352" t="str">
        <f t="shared" si="92"/>
        <v/>
      </c>
    </row>
    <row r="353" spans="1:8">
      <c r="A353">
        <f t="shared" ref="A353:A416" si="94">YEAR(E353)</f>
        <v>2026</v>
      </c>
      <c r="B353" t="str">
        <f t="shared" ref="B353:B416" si="95">CHOOSE(WEEKDAY(E353), "do", "lu", "ma", "mi", "ju", "vi", "sa")</f>
        <v>ma</v>
      </c>
      <c r="C353">
        <f t="shared" ref="C353:C357" si="96">C352</f>
        <v>2</v>
      </c>
      <c r="D353" t="s">
        <v>1494</v>
      </c>
      <c r="E353" s="14">
        <v>46364</v>
      </c>
      <c r="F353" t="str">
        <f t="shared" si="82"/>
        <v>adviento_s2_ma</v>
      </c>
      <c r="G353" s="15" t="str">
        <f t="shared" si="83"/>
        <v>"08/12/2026": "adviento_s2_ma",</v>
      </c>
      <c r="H353" t="str">
        <f t="shared" si="92"/>
        <v/>
      </c>
    </row>
    <row r="354" spans="1:8">
      <c r="A354">
        <f t="shared" si="94"/>
        <v>2026</v>
      </c>
      <c r="B354" t="str">
        <f t="shared" si="95"/>
        <v>mi</v>
      </c>
      <c r="C354">
        <f t="shared" si="96"/>
        <v>2</v>
      </c>
      <c r="D354" t="s">
        <v>1494</v>
      </c>
      <c r="E354" s="14">
        <v>46365</v>
      </c>
      <c r="F354" t="str">
        <f t="shared" si="82"/>
        <v>adviento_s2_mi</v>
      </c>
      <c r="G354" s="15" t="str">
        <f t="shared" si="83"/>
        <v>"09/12/2026": "adviento_s2_mi",</v>
      </c>
      <c r="H354" t="str">
        <f t="shared" si="92"/>
        <v/>
      </c>
    </row>
    <row r="355" spans="1:8">
      <c r="A355">
        <f t="shared" si="94"/>
        <v>2026</v>
      </c>
      <c r="B355" t="str">
        <f t="shared" si="95"/>
        <v>ju</v>
      </c>
      <c r="C355">
        <f t="shared" si="96"/>
        <v>2</v>
      </c>
      <c r="D355" t="s">
        <v>1494</v>
      </c>
      <c r="E355" s="14">
        <v>46366</v>
      </c>
      <c r="F355" t="str">
        <f t="shared" ref="F355:F418" si="97">_xlfn.CONCAT(D355,"_s",C355,"_",B355)</f>
        <v>adviento_s2_ju</v>
      </c>
      <c r="G355" s="15" t="str">
        <f t="shared" ref="G355:G418" si="98">"""" &amp; TEXT(E355, "dd/mm/yyyy") &amp; """: """ &amp; F355 &amp; ""","</f>
        <v>"10/12/2026": "adviento_s2_ju",</v>
      </c>
      <c r="H355" t="str">
        <f t="shared" si="92"/>
        <v/>
      </c>
    </row>
    <row r="356" spans="1:8">
      <c r="A356">
        <f t="shared" si="94"/>
        <v>2026</v>
      </c>
      <c r="B356" t="str">
        <f t="shared" si="95"/>
        <v>vi</v>
      </c>
      <c r="C356">
        <f t="shared" si="96"/>
        <v>2</v>
      </c>
      <c r="D356" t="s">
        <v>1494</v>
      </c>
      <c r="E356" s="14">
        <v>46367</v>
      </c>
      <c r="F356" t="str">
        <f t="shared" si="97"/>
        <v>adviento_s2_vi</v>
      </c>
      <c r="G356" s="15" t="str">
        <f t="shared" si="98"/>
        <v>"11/12/2026": "adviento_s2_vi",</v>
      </c>
      <c r="H356" t="str">
        <f t="shared" si="92"/>
        <v/>
      </c>
    </row>
    <row r="357" spans="1:8">
      <c r="A357">
        <f t="shared" si="94"/>
        <v>2026</v>
      </c>
      <c r="B357" t="str">
        <f t="shared" si="95"/>
        <v>sa</v>
      </c>
      <c r="C357">
        <f t="shared" si="96"/>
        <v>2</v>
      </c>
      <c r="D357" t="s">
        <v>1494</v>
      </c>
      <c r="E357" s="14">
        <v>46368</v>
      </c>
      <c r="F357" t="str">
        <f t="shared" si="97"/>
        <v>adviento_s2_sa</v>
      </c>
      <c r="G357" s="15" t="str">
        <f t="shared" si="98"/>
        <v>"12/12/2026": "adviento_s2_sa",</v>
      </c>
      <c r="H357" t="str">
        <f t="shared" si="92"/>
        <v/>
      </c>
    </row>
    <row r="358" spans="1:8">
      <c r="A358">
        <f t="shared" si="94"/>
        <v>2026</v>
      </c>
      <c r="B358" t="str">
        <f t="shared" si="95"/>
        <v>do</v>
      </c>
      <c r="C358">
        <f>C357+1</f>
        <v>3</v>
      </c>
      <c r="D358" t="s">
        <v>1494</v>
      </c>
      <c r="E358" s="14">
        <v>46369</v>
      </c>
      <c r="F358" t="str">
        <f t="shared" si="97"/>
        <v>adviento_s3_do</v>
      </c>
      <c r="G358" s="15" t="str">
        <f t="shared" si="98"/>
        <v>"13/12/2026": "adviento_s3_do",</v>
      </c>
      <c r="H358" t="str">
        <f t="shared" si="92"/>
        <v>// ADVIENTO SEMANA 3</v>
      </c>
    </row>
    <row r="359" spans="1:8">
      <c r="A359">
        <f t="shared" si="94"/>
        <v>2026</v>
      </c>
      <c r="B359" t="str">
        <f t="shared" si="95"/>
        <v>lu</v>
      </c>
      <c r="C359">
        <f>C358</f>
        <v>3</v>
      </c>
      <c r="D359" t="s">
        <v>1494</v>
      </c>
      <c r="E359" s="14">
        <v>46370</v>
      </c>
      <c r="F359" t="str">
        <f t="shared" si="97"/>
        <v>adviento_s3_lu</v>
      </c>
      <c r="G359" s="15" t="str">
        <f t="shared" si="98"/>
        <v>"14/12/2026": "adviento_s3_lu",</v>
      </c>
      <c r="H359" t="str">
        <f t="shared" si="92"/>
        <v/>
      </c>
    </row>
    <row r="360" spans="1:8">
      <c r="A360">
        <f t="shared" si="94"/>
        <v>2026</v>
      </c>
      <c r="B360" t="str">
        <f t="shared" si="95"/>
        <v>ma</v>
      </c>
      <c r="C360">
        <f t="shared" ref="C360:C364" si="99">C359</f>
        <v>3</v>
      </c>
      <c r="D360" t="s">
        <v>1494</v>
      </c>
      <c r="E360" s="14">
        <v>46371</v>
      </c>
      <c r="F360" t="str">
        <f t="shared" si="97"/>
        <v>adviento_s3_ma</v>
      </c>
      <c r="G360" s="15" t="str">
        <f t="shared" si="98"/>
        <v>"15/12/2026": "adviento_s3_ma",</v>
      </c>
      <c r="H360" t="str">
        <f t="shared" si="92"/>
        <v/>
      </c>
    </row>
    <row r="361" spans="1:8">
      <c r="A361">
        <f t="shared" si="94"/>
        <v>2026</v>
      </c>
      <c r="B361" t="str">
        <f t="shared" si="95"/>
        <v>mi</v>
      </c>
      <c r="C361">
        <f t="shared" si="99"/>
        <v>3</v>
      </c>
      <c r="D361" t="s">
        <v>1494</v>
      </c>
      <c r="E361" s="14">
        <v>46372</v>
      </c>
      <c r="F361" t="str">
        <f t="shared" si="97"/>
        <v>adviento_s3_mi</v>
      </c>
      <c r="G361" s="15" t="str">
        <f t="shared" si="98"/>
        <v>"16/12/2026": "adviento_s3_mi",</v>
      </c>
      <c r="H361" t="str">
        <f t="shared" si="92"/>
        <v/>
      </c>
    </row>
    <row r="362" spans="1:8">
      <c r="A362">
        <f t="shared" si="94"/>
        <v>2026</v>
      </c>
      <c r="B362" t="str">
        <f t="shared" si="95"/>
        <v>ju</v>
      </c>
      <c r="C362">
        <f t="shared" si="99"/>
        <v>3</v>
      </c>
      <c r="D362" t="s">
        <v>1494</v>
      </c>
      <c r="E362" s="14">
        <v>46373</v>
      </c>
      <c r="F362" t="str">
        <f t="shared" si="97"/>
        <v>adviento_s3_ju</v>
      </c>
      <c r="G362" s="15" t="str">
        <f t="shared" si="98"/>
        <v>"17/12/2026": "adviento_s3_ju",</v>
      </c>
      <c r="H362" t="str">
        <f t="shared" si="92"/>
        <v/>
      </c>
    </row>
    <row r="363" spans="1:8">
      <c r="A363">
        <f t="shared" si="94"/>
        <v>2026</v>
      </c>
      <c r="B363" t="str">
        <f t="shared" si="95"/>
        <v>vi</v>
      </c>
      <c r="C363">
        <f t="shared" si="99"/>
        <v>3</v>
      </c>
      <c r="D363" t="s">
        <v>1494</v>
      </c>
      <c r="E363" s="14">
        <v>46374</v>
      </c>
      <c r="F363" t="str">
        <f t="shared" si="97"/>
        <v>adviento_s3_vi</v>
      </c>
      <c r="G363" s="15" t="str">
        <f t="shared" si="98"/>
        <v>"18/12/2026": "adviento_s3_vi",</v>
      </c>
      <c r="H363" t="str">
        <f t="shared" si="92"/>
        <v/>
      </c>
    </row>
    <row r="364" spans="1:8">
      <c r="A364">
        <f t="shared" si="94"/>
        <v>2026</v>
      </c>
      <c r="B364" t="str">
        <f t="shared" si="95"/>
        <v>sa</v>
      </c>
      <c r="C364">
        <f t="shared" si="99"/>
        <v>3</v>
      </c>
      <c r="D364" t="s">
        <v>1494</v>
      </c>
      <c r="E364" s="14">
        <v>46375</v>
      </c>
      <c r="F364" t="str">
        <f t="shared" si="97"/>
        <v>adviento_s3_sa</v>
      </c>
      <c r="G364" s="15" t="str">
        <f t="shared" si="98"/>
        <v>"19/12/2026": "adviento_s3_sa",</v>
      </c>
      <c r="H364" t="str">
        <f t="shared" si="92"/>
        <v/>
      </c>
    </row>
    <row r="365" spans="1:8">
      <c r="A365">
        <f t="shared" si="94"/>
        <v>2026</v>
      </c>
      <c r="B365" t="str">
        <f t="shared" si="95"/>
        <v>do</v>
      </c>
      <c r="C365">
        <f>C364+1</f>
        <v>4</v>
      </c>
      <c r="D365" t="s">
        <v>1494</v>
      </c>
      <c r="E365" s="14">
        <v>46376</v>
      </c>
      <c r="F365" t="str">
        <f t="shared" si="97"/>
        <v>adviento_s4_do</v>
      </c>
      <c r="G365" s="15" t="str">
        <f t="shared" si="98"/>
        <v>"20/12/2026": "adviento_s4_do",</v>
      </c>
      <c r="H365" t="str">
        <f t="shared" si="92"/>
        <v>// ADVIENTO SEMANA 4</v>
      </c>
    </row>
    <row r="366" spans="1:8">
      <c r="A366">
        <f t="shared" si="94"/>
        <v>2026</v>
      </c>
      <c r="B366" t="str">
        <f t="shared" si="95"/>
        <v>lu</v>
      </c>
      <c r="C366">
        <f>C365</f>
        <v>4</v>
      </c>
      <c r="D366" t="s">
        <v>1494</v>
      </c>
      <c r="E366" s="14">
        <v>46377</v>
      </c>
      <c r="F366" t="str">
        <f t="shared" si="97"/>
        <v>adviento_s4_lu</v>
      </c>
      <c r="G366" s="15" t="str">
        <f t="shared" si="98"/>
        <v>"21/12/2026": "adviento_s4_lu",</v>
      </c>
      <c r="H366" t="str">
        <f t="shared" si="92"/>
        <v/>
      </c>
    </row>
    <row r="367" spans="1:8">
      <c r="A367">
        <f t="shared" si="94"/>
        <v>2026</v>
      </c>
      <c r="B367" t="str">
        <f t="shared" si="95"/>
        <v>ma</v>
      </c>
      <c r="C367">
        <f t="shared" ref="C367:C371" si="100">C366</f>
        <v>4</v>
      </c>
      <c r="D367" t="s">
        <v>1494</v>
      </c>
      <c r="E367" s="14">
        <v>46378</v>
      </c>
      <c r="F367" t="str">
        <f t="shared" si="97"/>
        <v>adviento_s4_ma</v>
      </c>
      <c r="G367" s="15" t="str">
        <f t="shared" si="98"/>
        <v>"22/12/2026": "adviento_s4_ma",</v>
      </c>
      <c r="H367" t="str">
        <f t="shared" si="92"/>
        <v/>
      </c>
    </row>
    <row r="368" spans="1:8">
      <c r="A368">
        <f t="shared" si="94"/>
        <v>2026</v>
      </c>
      <c r="B368" t="str">
        <f t="shared" si="95"/>
        <v>mi</v>
      </c>
      <c r="C368">
        <f t="shared" si="100"/>
        <v>4</v>
      </c>
      <c r="D368" t="s">
        <v>1494</v>
      </c>
      <c r="E368" s="14">
        <v>46379</v>
      </c>
      <c r="F368" t="str">
        <f t="shared" si="97"/>
        <v>adviento_s4_mi</v>
      </c>
      <c r="G368" s="15" t="str">
        <f t="shared" si="98"/>
        <v>"23/12/2026": "adviento_s4_mi",</v>
      </c>
      <c r="H368" t="str">
        <f t="shared" si="92"/>
        <v/>
      </c>
    </row>
    <row r="369" spans="1:12">
      <c r="A369">
        <f t="shared" si="94"/>
        <v>2026</v>
      </c>
      <c r="B369" t="str">
        <f t="shared" si="95"/>
        <v>ju</v>
      </c>
      <c r="C369">
        <f t="shared" si="100"/>
        <v>4</v>
      </c>
      <c r="D369" t="s">
        <v>1494</v>
      </c>
      <c r="E369" s="14">
        <v>46380</v>
      </c>
      <c r="F369" t="str">
        <f t="shared" si="97"/>
        <v>adviento_s4_ju</v>
      </c>
      <c r="G369" s="15" t="str">
        <f t="shared" si="98"/>
        <v>"24/12/2026": "adviento_s4_ju",</v>
      </c>
      <c r="H369" s="13"/>
    </row>
    <row r="370" spans="1:12">
      <c r="A370">
        <f t="shared" si="94"/>
        <v>2026</v>
      </c>
      <c r="B370" t="str">
        <f t="shared" si="95"/>
        <v>vi</v>
      </c>
      <c r="C370">
        <v>1</v>
      </c>
      <c r="D370" t="s">
        <v>1495</v>
      </c>
      <c r="E370" s="14">
        <v>46381</v>
      </c>
      <c r="F370" t="str">
        <f t="shared" si="97"/>
        <v>navidad_s1_vi</v>
      </c>
      <c r="G370" s="15" t="str">
        <f t="shared" si="98"/>
        <v>"25/12/2026": "navidad_s1_vi",</v>
      </c>
      <c r="H370" s="13" t="str">
        <f>IF(MONTH(E370)=1,IF(DAY(E370)=1,Resumen!$C$17,IF(DAY(E370)=6,Resumen!$C$18,IF(AND(WEEKDAY(E370)=1,E370&gt;DATE(YEAR(E370),1,6),E370&lt;DATE(YEAR(E370),1,14)),Resumen!$C$19,""))),IF(E370=(DATE(YEAR(E370),12,31)-WEEKDAY(DATE(YEAR(E370),12,31)-1,1)),Resumen!$C$14,IF(MONTH(E370)=12,IF(DAY(E370)=25,Resumen!$C$9,IF(DAY(E370)=26,Resumen!$C$10,IF(DAY(E370)=27,Resumen!$C$11,IF(DAY(E370)=28,Resumen!$C$12,IF(DAY(E370)=29,Resumen!$C$13,IF(DAY(E370)=30,Resumen!$C$15,IF(DAY(E370)=31,Resumen!$C$16,IF(B370="do","// "&amp;UPPER(D370)&amp;" SEMANA "&amp;C370,"")))))))),Resumen!$C$15)))</f>
        <v>"// La Natividad del Señor"</v>
      </c>
      <c r="J370" s="13" t="s">
        <v>1506</v>
      </c>
    </row>
    <row r="371" spans="1:12">
      <c r="A371">
        <f t="shared" si="94"/>
        <v>2026</v>
      </c>
      <c r="B371" t="str">
        <f t="shared" si="95"/>
        <v>sa</v>
      </c>
      <c r="C371">
        <f t="shared" si="100"/>
        <v>1</v>
      </c>
      <c r="D371" t="s">
        <v>1495</v>
      </c>
      <c r="E371" s="14">
        <v>46382</v>
      </c>
      <c r="F371" t="str">
        <f t="shared" si="97"/>
        <v>navidad_s1_sa</v>
      </c>
      <c r="G371" s="15" t="str">
        <f t="shared" si="98"/>
        <v>"26/12/2026": "navidad_s1_sa",</v>
      </c>
      <c r="H371" s="13" t="str">
        <f>IF(MONTH(E371)=1,IF(DAY(E371)=1,Resumen!$C$17,IF(DAY(E371)=6,Resumen!$C$18,IF(AND(WEEKDAY(E371)=1,E371&gt;DATE(YEAR(E371),1,6),E371&lt;DATE(YEAR(E371),1,14)),Resumen!$C$19,""))),IF(E371=(DATE(YEAR(E371),12,31)-WEEKDAY(DATE(YEAR(E371),12,31)-1,1)),Resumen!$C$14,IF(MONTH(E371)=12,IF(DAY(E371)=25,Resumen!$C$9,IF(DAY(E371)=26,Resumen!$C$10,IF(DAY(E371)=27,Resumen!$C$11,IF(DAY(E371)=28,Resumen!$C$12,IF(DAY(E371)=29,Resumen!$C$13,IF(DAY(E371)=30,Resumen!$C$15,IF(DAY(E371)=31,Resumen!$C$16,IF(B371="do","// "&amp;UPPER(D371)&amp;" SEMANA "&amp;C371,"")))))))),Resumen!$C$15)))</f>
        <v>"// San Esteban, protomártir"</v>
      </c>
    </row>
    <row r="372" spans="1:12">
      <c r="A372">
        <f t="shared" si="94"/>
        <v>2026</v>
      </c>
      <c r="B372" t="str">
        <f t="shared" si="95"/>
        <v>do</v>
      </c>
      <c r="C372">
        <v>1</v>
      </c>
      <c r="D372" t="s">
        <v>1495</v>
      </c>
      <c r="E372" s="14">
        <v>46383</v>
      </c>
      <c r="F372" t="str">
        <f t="shared" si="97"/>
        <v>navidad_s1_do</v>
      </c>
      <c r="G372" s="15" t="str">
        <f t="shared" si="98"/>
        <v>"27/12/2026": "navidad_s1_do",</v>
      </c>
      <c r="H372" s="13" t="str">
        <f>IF(MONTH(E372)=1,IF(DAY(E372)=1,Resumen!$C$17,IF(DAY(E372)=6,Resumen!$C$18,IF(AND(WEEKDAY(E372)=1,E372&gt;DATE(YEAR(E372),1,6),E372&lt;DATE(YEAR(E372),1,14)),Resumen!$C$19,""))),IF(E372=(DATE(YEAR(E372),12,31)-WEEKDAY(DATE(YEAR(E372),12,31)-1,1)),Resumen!$C$14,IF(MONTH(E372)=12,IF(DAY(E372)=25,Resumen!$C$9,IF(DAY(E372)=26,Resumen!$C$10,IF(DAY(E372)=27,Resumen!$C$11,IF(DAY(E372)=28,Resumen!$C$12,IF(DAY(E372)=29,Resumen!$C$13,IF(DAY(E372)=30,Resumen!$C$15,IF(DAY(E372)=31,Resumen!$C$16,IF(B372="do","// "&amp;UPPER(D372)&amp;" SEMANA "&amp;C372,"")))))))),Resumen!$C$15)))</f>
        <v>"// La Sagrada Familia de Jesús, María y José"</v>
      </c>
      <c r="I372" t="s">
        <v>1542</v>
      </c>
      <c r="L372" t="str">
        <f>IFERROR(VLOOKUP(E372, Resumen!$B$9:$C$28, 2, FALSE), IF(B372="do", "// TIEMPO " &amp; UPPER(D372) &amp; " SEMANA " &amp; C372, ""))</f>
        <v>"//  San Juan, apóstol y evangelista"</v>
      </c>
    </row>
    <row r="373" spans="1:12">
      <c r="A373">
        <f t="shared" si="94"/>
        <v>2026</v>
      </c>
      <c r="B373" t="str">
        <f t="shared" si="95"/>
        <v>lu</v>
      </c>
      <c r="C373">
        <f>C372</f>
        <v>1</v>
      </c>
      <c r="D373" t="s">
        <v>1495</v>
      </c>
      <c r="E373" s="14">
        <v>46384</v>
      </c>
      <c r="F373" t="str">
        <f t="shared" si="97"/>
        <v>navidad_s1_lu</v>
      </c>
      <c r="G373" s="15" t="str">
        <f t="shared" si="98"/>
        <v>"28/12/2026": "navidad_s1_lu",</v>
      </c>
      <c r="H373" s="13" t="str">
        <f>IF(MONTH(E373)=1,IF(DAY(E373)=1,Resumen!$C$17,IF(DAY(E373)=6,Resumen!$C$18,IF(AND(WEEKDAY(E373)=1,E373&gt;DATE(YEAR(E373),1,6),E373&lt;DATE(YEAR(E373),1,14)),Resumen!$C$19,""))),IF(E373=(DATE(YEAR(E373),12,31)-WEEKDAY(DATE(YEAR(E373),12,31)-1,1)),Resumen!$C$14,IF(MONTH(E373)=12,IF(DAY(E373)=25,Resumen!$C$9,IF(DAY(E373)=26,Resumen!$C$10,IF(DAY(E373)=27,Resumen!$C$11,IF(DAY(E373)=28,Resumen!$C$12,IF(DAY(E373)=29,Resumen!$C$13,IF(DAY(E373)=30,Resumen!$C$15,IF(DAY(E373)=31,Resumen!$C$16,IF(B373="do","// "&amp;UPPER(D373)&amp;" SEMANA "&amp;C373,"")))))))),Resumen!$C$15)))</f>
        <v>"// Los Santos Inocentes, mártires"</v>
      </c>
      <c r="L373" t="str">
        <f>IFERROR(VLOOKUP(E373, Resumen!$B$9:$C$28, 2, FALSE), IF(B373="do", "// TIEMPO " &amp; UPPER(D373) &amp; " SEMANA " &amp; C373, ""))</f>
        <v>"// Los Santos Inocentes, mártires"</v>
      </c>
    </row>
    <row r="374" spans="1:12">
      <c r="A374">
        <f t="shared" si="94"/>
        <v>2026</v>
      </c>
      <c r="B374" t="str">
        <f t="shared" si="95"/>
        <v>ma</v>
      </c>
      <c r="C374">
        <f t="shared" ref="C374:C378" si="101">C373</f>
        <v>1</v>
      </c>
      <c r="D374" t="s">
        <v>1495</v>
      </c>
      <c r="E374" s="14">
        <v>46385</v>
      </c>
      <c r="F374" t="str">
        <f t="shared" si="97"/>
        <v>navidad_s1_ma</v>
      </c>
      <c r="G374" s="15" t="str">
        <f t="shared" si="98"/>
        <v>"29/12/2026": "navidad_s1_ma",</v>
      </c>
      <c r="H374" s="13" t="str">
        <f>IF(MONTH(E374)=1,IF(DAY(E374)=1,Resumen!$C$17,IF(DAY(E374)=6,Resumen!$C$18,IF(AND(WEEKDAY(E374)=1,E374&gt;DATE(YEAR(E374),1,6),E374&lt;DATE(YEAR(E374),1,14)),Resumen!$C$19,""))),IF(E374=(DATE(YEAR(E374),12,31)-WEEKDAY(DATE(YEAR(E374),12,31)-1,1)),Resumen!$C$14,IF(MONTH(E374)=12,IF(DAY(E374)=25,Resumen!$C$9,IF(DAY(E374)=26,Resumen!$C$10,IF(DAY(E374)=27,Resumen!$C$11,IF(DAY(E374)=28,Resumen!$C$12,IF(DAY(E374)=29,Resumen!$C$13,IF(DAY(E374)=30,Resumen!$C$15,IF(DAY(E374)=31,Resumen!$C$16,IF(B374="do","// "&amp;UPPER(D374)&amp;" SEMANA "&amp;C374,"")))))))),Resumen!$C$15)))</f>
        <v>"//  Día V dentro de la Octava de la Natividad del Señor"</v>
      </c>
    </row>
    <row r="375" spans="1:12">
      <c r="A375">
        <f t="shared" si="94"/>
        <v>2026</v>
      </c>
      <c r="B375" t="str">
        <f t="shared" si="95"/>
        <v>mi</v>
      </c>
      <c r="C375">
        <f t="shared" si="101"/>
        <v>1</v>
      </c>
      <c r="D375" t="s">
        <v>1495</v>
      </c>
      <c r="E375" s="14">
        <v>46386</v>
      </c>
      <c r="F375" t="str">
        <f t="shared" si="97"/>
        <v>navidad_s1_mi</v>
      </c>
      <c r="G375" s="15" t="str">
        <f t="shared" si="98"/>
        <v>"30/12/2026": "navidad_s1_mi",</v>
      </c>
      <c r="H375" s="13" t="str">
        <f>IF(MONTH(E375)=1,IF(DAY(E375)=1,Resumen!$C$17,IF(DAY(E375)=6,Resumen!$C$18,IF(AND(WEEKDAY(E375)=1,E375&gt;DATE(YEAR(E375),1,6),E375&lt;DATE(YEAR(E375),1,14)),Resumen!$C$19,""))),IF(E375=(DATE(YEAR(E375),12,31)-WEEKDAY(DATE(YEAR(E375),12,31)-1,1)),Resumen!$C$14,IF(MONTH(E375)=12,IF(DAY(E375)=25,Resumen!$C$9,IF(DAY(E375)=26,Resumen!$C$10,IF(DAY(E375)=27,Resumen!$C$11,IF(DAY(E375)=28,Resumen!$C$12,IF(DAY(E375)=29,Resumen!$C$13,IF(DAY(E375)=30,Resumen!$C$15,IF(DAY(E375)=31,Resumen!$C$16,IF(B375="do","// "&amp;UPPER(D375)&amp;" SEMANA "&amp;C375,"")))))))),Resumen!$C$15)))</f>
        <v>"// Día VI dentro de la Octava de la Natividad del Señor"</v>
      </c>
    </row>
    <row r="376" spans="1:12">
      <c r="A376">
        <f t="shared" si="94"/>
        <v>2026</v>
      </c>
      <c r="B376" t="str">
        <f t="shared" si="95"/>
        <v>ju</v>
      </c>
      <c r="C376">
        <f t="shared" si="101"/>
        <v>1</v>
      </c>
      <c r="D376" t="s">
        <v>1495</v>
      </c>
      <c r="E376" s="14">
        <v>46387</v>
      </c>
      <c r="F376" t="str">
        <f t="shared" si="97"/>
        <v>navidad_s1_ju</v>
      </c>
      <c r="G376" s="15" t="str">
        <f t="shared" si="98"/>
        <v>"31/12/2026": "navidad_s1_ju",</v>
      </c>
      <c r="H376" s="13" t="str">
        <f>IF(MONTH(E376)=1,IF(DAY(E376)=1,Resumen!$C$17,IF(DAY(E376)=6,Resumen!$C$18,IF(AND(WEEKDAY(E376)=1,E376&gt;DATE(YEAR(E376),1,6),E376&lt;DATE(YEAR(E376),1,14)),Resumen!$C$19,""))),IF(E376=(DATE(YEAR(E376),12,31)-WEEKDAY(DATE(YEAR(E376),12,31)-1,1)),Resumen!$C$14,IF(MONTH(E376)=12,IF(DAY(E376)=25,Resumen!$C$9,IF(DAY(E376)=26,Resumen!$C$10,IF(DAY(E376)=27,Resumen!$C$11,IF(DAY(E376)=28,Resumen!$C$12,IF(DAY(E376)=29,Resumen!$C$13,IF(DAY(E376)=30,Resumen!$C$15,IF(DAY(E376)=31,Resumen!$C$16,IF(B376="do","// "&amp;UPPER(D376)&amp;" SEMANA "&amp;C376,"")))))))),Resumen!$C$15)))</f>
        <v>"// Día VII dentro de la Octava de la Natividad del Señor"</v>
      </c>
    </row>
    <row r="377" spans="1:12">
      <c r="A377">
        <f t="shared" si="94"/>
        <v>2027</v>
      </c>
      <c r="B377" t="str">
        <f t="shared" si="95"/>
        <v>vi</v>
      </c>
      <c r="C377">
        <f t="shared" si="101"/>
        <v>1</v>
      </c>
      <c r="D377" t="s">
        <v>1495</v>
      </c>
      <c r="E377" s="14">
        <v>46388</v>
      </c>
      <c r="F377" t="str">
        <f t="shared" si="97"/>
        <v>navidad_s1_vi</v>
      </c>
      <c r="G377" s="15" t="str">
        <f t="shared" si="98"/>
        <v>"01/01/2027": "navidad_s1_vi",</v>
      </c>
      <c r="H377" s="13" t="str">
        <f>IF(MONTH(E377)=1,IF(DAY(E377)=1,Resumen!$C$17,IF(DAY(E377)=6,Resumen!$C$18,IF(AND(WEEKDAY(E377)=1,E377&gt;DATE(YEAR(E377),1,6),E377&lt;DATE(YEAR(E377),1,14)),Resumen!$C$19,""))),IF(E377=(DATE(YEAR(E377),12,31)-WEEKDAY(DATE(YEAR(E377),12,31)-1,1)),Resumen!$C$14,IF(MONTH(E377)=12,IF(DAY(E377)=25,Resumen!$C$9,IF(DAY(E377)=26,Resumen!$C$10,IF(DAY(E377)=27,Resumen!$C$11,IF(DAY(E377)=28,Resumen!$C$12,IF(DAY(E377)=29,Resumen!$C$13,IF(DAY(E377)=30,Resumen!$C$15,IF(DAY(E377)=31,Resumen!$C$16,IF(B377="do","// "&amp;UPPER(D377)&amp;" SEMANA "&amp;C377,"")))))))),Resumen!$C$15)))</f>
        <v>"// Santa María, Madre de Dios"</v>
      </c>
    </row>
    <row r="378" spans="1:12">
      <c r="A378">
        <f t="shared" si="94"/>
        <v>2027</v>
      </c>
      <c r="B378" t="str">
        <f t="shared" si="95"/>
        <v>sa</v>
      </c>
      <c r="C378">
        <f t="shared" si="101"/>
        <v>1</v>
      </c>
      <c r="D378" t="s">
        <v>1495</v>
      </c>
      <c r="E378" s="14">
        <v>46389</v>
      </c>
      <c r="F378" t="str">
        <f t="shared" si="97"/>
        <v>navidad_s1_sa</v>
      </c>
      <c r="G378" s="15" t="str">
        <f t="shared" si="98"/>
        <v>"02/01/2027": "navidad_s1_sa",</v>
      </c>
      <c r="H378" s="13" t="str">
        <f>IF(MONTH(E378)=1,IF(DAY(E378)=1,Resumen!$C$17,IF(DAY(E378)=6,Resumen!$C$18,IF(AND(WEEKDAY(E378)=1,E378&gt;DATE(YEAR(E378),1,6),E378&lt;DATE(YEAR(E378),1,14)),Resumen!$C$19,""))),IF(E378=(DATE(YEAR(E378),12,31)-WEEKDAY(DATE(YEAR(E378),12,31)-1,1)),Resumen!$C$14,IF(MONTH(E378)=12,IF(DAY(E378)=25,Resumen!$C$9,IF(DAY(E378)=26,Resumen!$C$10,IF(DAY(E378)=27,Resumen!$C$11,IF(DAY(E378)=28,Resumen!$C$12,IF(DAY(E378)=29,Resumen!$C$13,IF(DAY(E378)=30,Resumen!$C$15,IF(DAY(E378)=31,Resumen!$C$16,IF(B378="do","// "&amp;UPPER(D378)&amp;" SEMANA "&amp;C378,"")))))))),Resumen!$C$15)))</f>
        <v/>
      </c>
    </row>
    <row r="379" spans="1:12">
      <c r="A379">
        <f t="shared" si="94"/>
        <v>2027</v>
      </c>
      <c r="B379" t="str">
        <f t="shared" si="95"/>
        <v>do</v>
      </c>
      <c r="C379">
        <f>C378+1</f>
        <v>2</v>
      </c>
      <c r="D379" t="s">
        <v>1495</v>
      </c>
      <c r="E379" s="14">
        <v>46390</v>
      </c>
      <c r="F379" t="str">
        <f t="shared" si="97"/>
        <v>navidad_s2_do</v>
      </c>
      <c r="G379" s="15" t="str">
        <f t="shared" si="98"/>
        <v>"03/01/2027": "navidad_s2_do",</v>
      </c>
      <c r="H379" t="s">
        <v>1541</v>
      </c>
      <c r="I379" t="s">
        <v>1541</v>
      </c>
    </row>
    <row r="380" spans="1:12">
      <c r="A380">
        <f t="shared" si="94"/>
        <v>2027</v>
      </c>
      <c r="B380" t="str">
        <f t="shared" si="95"/>
        <v>lu</v>
      </c>
      <c r="C380">
        <f>C379</f>
        <v>2</v>
      </c>
      <c r="D380" t="s">
        <v>1495</v>
      </c>
      <c r="E380" s="14">
        <v>46391</v>
      </c>
      <c r="F380" t="str">
        <f t="shared" si="97"/>
        <v>navidad_s2_lu</v>
      </c>
      <c r="G380" s="15" t="str">
        <f t="shared" si="98"/>
        <v>"04/01/2027": "navidad_s2_lu",</v>
      </c>
      <c r="H380" s="13" t="str">
        <f>IF(MONTH(E380)=1,IF(DAY(E380)=1,Resumen!$C$17,IF(DAY(E380)=6,Resumen!$C$18,IF(AND(WEEKDAY(E380)=1,E380&gt;DATE(YEAR(E380),1,6),E380&lt;DATE(YEAR(E380),1,14)),Resumen!$C$19,""))),IF(E380=(DATE(YEAR(E380),12,31)-WEEKDAY(DATE(YEAR(E380),12,31)-1,1)),Resumen!$C$14,IF(MONTH(E380)=12,IF(DAY(E380)=25,Resumen!$C$9,IF(DAY(E380)=26,Resumen!$C$10,IF(DAY(E380)=27,Resumen!$C$11,IF(DAY(E380)=28,Resumen!$C$12,IF(DAY(E380)=29,Resumen!$C$13,IF(DAY(E380)=30,Resumen!$C$15,IF(DAY(E380)=31,Resumen!$C$16,IF(B380="do","// "&amp;UPPER(D380)&amp;" SEMANA "&amp;C380,"")))))))),Resumen!$C$15)))</f>
        <v/>
      </c>
    </row>
    <row r="381" spans="1:12">
      <c r="A381">
        <f t="shared" si="94"/>
        <v>2027</v>
      </c>
      <c r="B381" t="str">
        <f t="shared" si="95"/>
        <v>ma</v>
      </c>
      <c r="C381">
        <f t="shared" ref="C381:C385" si="102">C380</f>
        <v>2</v>
      </c>
      <c r="D381" t="s">
        <v>1495</v>
      </c>
      <c r="E381" s="14">
        <v>46392</v>
      </c>
      <c r="F381" t="str">
        <f t="shared" si="97"/>
        <v>navidad_s2_ma</v>
      </c>
      <c r="G381" s="15" t="str">
        <f t="shared" si="98"/>
        <v>"05/01/2027": "navidad_s2_ma",</v>
      </c>
      <c r="H381" s="13" t="str">
        <f>IF(MONTH(E381)=1,IF(DAY(E381)=1,Resumen!$C$17,IF(DAY(E381)=6,Resumen!$C$18,IF(AND(WEEKDAY(E381)=1,E381&gt;DATE(YEAR(E381),1,6),E381&lt;DATE(YEAR(E381),1,14)),Resumen!$C$19,""))),IF(E381=(DATE(YEAR(E381),12,31)-WEEKDAY(DATE(YEAR(E381),12,31)-1,1)),Resumen!$C$14,IF(MONTH(E381)=12,IF(DAY(E381)=25,Resumen!$C$9,IF(DAY(E381)=26,Resumen!$C$10,IF(DAY(E381)=27,Resumen!$C$11,IF(DAY(E381)=28,Resumen!$C$12,IF(DAY(E381)=29,Resumen!$C$13,IF(DAY(E381)=30,Resumen!$C$15,IF(DAY(E381)=31,Resumen!$C$16,IF(B381="do","// "&amp;UPPER(D381)&amp;" SEMANA "&amp;C381,"")))))))),Resumen!$C$15)))</f>
        <v/>
      </c>
    </row>
    <row r="382" spans="1:12">
      <c r="A382">
        <f t="shared" si="94"/>
        <v>2027</v>
      </c>
      <c r="B382" t="str">
        <f t="shared" si="95"/>
        <v>mi</v>
      </c>
      <c r="C382">
        <f t="shared" si="102"/>
        <v>2</v>
      </c>
      <c r="D382" t="s">
        <v>1495</v>
      </c>
      <c r="E382" s="14">
        <v>46393</v>
      </c>
      <c r="F382" t="str">
        <f t="shared" si="97"/>
        <v>navidad_s2_mi</v>
      </c>
      <c r="G382" s="15" t="str">
        <f t="shared" si="98"/>
        <v>"06/01/2027": "navidad_s2_mi",</v>
      </c>
      <c r="H382" s="13" t="str">
        <f>IF(MONTH(E382)=1,IF(DAY(E382)=1,Resumen!$C$17,IF(DAY(E382)=6,Resumen!$C$18,IF(AND(WEEKDAY(E382)=1,E382&gt;DATE(YEAR(E382),1,6),E382&lt;DATE(YEAR(E382),1,14)),Resumen!$C$19,""))),IF(E382=(DATE(YEAR(E382),12,31)-WEEKDAY(DATE(YEAR(E382),12,31)-1,1)),Resumen!$C$14,IF(MONTH(E382)=12,IF(DAY(E382)=25,Resumen!$C$9,IF(DAY(E382)=26,Resumen!$C$10,IF(DAY(E382)=27,Resumen!$C$11,IF(DAY(E382)=28,Resumen!$C$12,IF(DAY(E382)=29,Resumen!$C$13,IF(DAY(E382)=30,Resumen!$C$15,IF(DAY(E382)=31,Resumen!$C$16,IF(B382="do","// "&amp;UPPER(D382)&amp;" SEMANA "&amp;C382,"")))))))),Resumen!$C$15)))</f>
        <v>"// La Epifanía del Señor"</v>
      </c>
    </row>
    <row r="383" spans="1:12">
      <c r="A383">
        <f t="shared" si="94"/>
        <v>2027</v>
      </c>
      <c r="B383" t="str">
        <f t="shared" si="95"/>
        <v>ju</v>
      </c>
      <c r="C383">
        <f t="shared" si="102"/>
        <v>2</v>
      </c>
      <c r="D383" t="s">
        <v>1495</v>
      </c>
      <c r="E383" s="14">
        <v>46394</v>
      </c>
      <c r="F383" t="str">
        <f t="shared" si="97"/>
        <v>navidad_s2_ju</v>
      </c>
      <c r="G383" s="15" t="str">
        <f t="shared" si="98"/>
        <v>"07/01/2027": "navidad_s2_ju",</v>
      </c>
      <c r="H383" s="13" t="s">
        <v>1543</v>
      </c>
    </row>
    <row r="384" spans="1:12">
      <c r="A384">
        <f t="shared" si="94"/>
        <v>2027</v>
      </c>
      <c r="B384" t="str">
        <f t="shared" si="95"/>
        <v>vi</v>
      </c>
      <c r="C384">
        <f t="shared" si="102"/>
        <v>2</v>
      </c>
      <c r="D384" t="s">
        <v>1495</v>
      </c>
      <c r="E384" s="14">
        <v>46395</v>
      </c>
      <c r="F384" t="str">
        <f t="shared" si="97"/>
        <v>navidad_s2_vi</v>
      </c>
      <c r="G384" s="15" t="str">
        <f t="shared" si="98"/>
        <v>"08/01/2027": "navidad_s2_vi",</v>
      </c>
      <c r="H384" s="13" t="str">
        <f>IF(MONTH(E384)=1,IF(DAY(E384)=1,Resumen!$C$17,IF(DAY(E384)=6,Resumen!$C$18,IF(AND(WEEKDAY(E384)=1,E384&gt;DATE(YEAR(E384),1,6),E384&lt;DATE(YEAR(E384),1,14)),Resumen!$C$19,""))),IF(E384=(DATE(YEAR(E384),12,31)-WEEKDAY(DATE(YEAR(E384),12,31)-1,1)),Resumen!$C$14,IF(MONTH(E384)=12,IF(DAY(E384)=25,Resumen!$C$9,IF(DAY(E384)=26,Resumen!$C$10,IF(DAY(E384)=27,Resumen!$C$11,IF(DAY(E384)=28,Resumen!$C$12,IF(DAY(E384)=29,Resumen!$C$13,IF(DAY(E384)=30,Resumen!$C$15,IF(DAY(E384)=31,Resumen!$C$16,IF(B384="do","// "&amp;UPPER(D384)&amp;" SEMANA "&amp;C384,"")))))))),Resumen!$C$15)))</f>
        <v/>
      </c>
      <c r="I384" t="s">
        <v>1544</v>
      </c>
    </row>
    <row r="385" spans="1:12">
      <c r="A385">
        <f t="shared" si="94"/>
        <v>2027</v>
      </c>
      <c r="B385" t="str">
        <f t="shared" si="95"/>
        <v>sa</v>
      </c>
      <c r="C385">
        <f t="shared" si="102"/>
        <v>2</v>
      </c>
      <c r="D385" t="s">
        <v>1495</v>
      </c>
      <c r="E385" s="14">
        <v>46396</v>
      </c>
      <c r="F385" t="str">
        <f t="shared" si="97"/>
        <v>navidad_s2_sa</v>
      </c>
      <c r="G385" s="15" t="str">
        <f t="shared" si="98"/>
        <v>"09/01/2027": "navidad_s2_sa",</v>
      </c>
      <c r="H385" s="13" t="str">
        <f>IF(MONTH(E385)=1,IF(DAY(E385)=1,Resumen!$C$17,IF(DAY(E385)=6,Resumen!$C$18,IF(AND(WEEKDAY(E385)=1,E385&gt;DATE(YEAR(E385),1,6),E385&lt;DATE(YEAR(E385),1,14)),Resumen!$C$19,""))),IF(E385=(DATE(YEAR(E385),12,31)-WEEKDAY(DATE(YEAR(E385),12,31)-1,1)),Resumen!$C$14,IF(MONTH(E385)=12,IF(DAY(E385)=25,Resumen!$C$9,IF(DAY(E385)=26,Resumen!$C$10,IF(DAY(E385)=27,Resumen!$C$11,IF(DAY(E385)=28,Resumen!$C$12,IF(DAY(E385)=29,Resumen!$C$13,IF(DAY(E385)=30,Resumen!$C$15,IF(DAY(E385)=31,Resumen!$C$16,IF(B385="do","// "&amp;UPPER(D385)&amp;" SEMANA "&amp;C385,"")))))))),Resumen!$C$15)))</f>
        <v/>
      </c>
      <c r="I385" t="s">
        <v>1545</v>
      </c>
    </row>
    <row r="386" spans="1:12">
      <c r="A386">
        <f t="shared" si="94"/>
        <v>2027</v>
      </c>
      <c r="B386" t="str">
        <f t="shared" si="95"/>
        <v>do</v>
      </c>
      <c r="C386">
        <v>1</v>
      </c>
      <c r="D386" t="s">
        <v>1496</v>
      </c>
      <c r="E386" s="14">
        <v>46397</v>
      </c>
      <c r="F386" t="str">
        <f t="shared" si="97"/>
        <v>ordinario_s1_do</v>
      </c>
      <c r="G386" s="15" t="str">
        <f t="shared" si="98"/>
        <v>"10/01/2027": "ordinario_s1_do",</v>
      </c>
      <c r="H386" s="13" t="str">
        <f>IF(MONTH(E386)=1,IF(DAY(E386)=1,Resumen!$C$17,IF(DAY(E386)=6,Resumen!$C$18,IF(AND(WEEKDAY(E386)=1,E386&gt;DATE(YEAR(E386),1,6),E386&lt;DATE(YEAR(E386),1,14)),Resumen!$C$19,""))),IF(E386=(DATE(YEAR(E386),12,31)-WEEKDAY(DATE(YEAR(E386),12,31)-1,1)),Resumen!$C$14,IF(MONTH(E386)=12,IF(DAY(E386)=25,Resumen!$C$9,IF(DAY(E386)=26,Resumen!$C$10,IF(DAY(E386)=27,Resumen!$C$11,IF(DAY(E386)=28,Resumen!$C$12,IF(DAY(E386)=29,Resumen!$C$13,IF(DAY(E386)=30,Resumen!$C$15,IF(DAY(E386)=31,Resumen!$C$16,IF(B386="do","// "&amp;UPPER(D386)&amp;" SEMANA "&amp;C386,"")))))))),Resumen!$C$15)))</f>
        <v>"//  El Bautismo del Señor"</v>
      </c>
      <c r="L386" t="str">
        <f>IFERROR(VLOOKUP(E386, Resumen!$B$9:$C$28, 2, FALSE), IF(B386="do", "// TIEMPO " &amp; UPPER(D386) &amp; " SEMANA " &amp; C386, ""))</f>
        <v>// TIEMPO ORDINARIO SEMANA 1</v>
      </c>
    </row>
    <row r="387" spans="1:12">
      <c r="A387">
        <f t="shared" si="94"/>
        <v>2027</v>
      </c>
      <c r="B387" t="str">
        <f t="shared" si="95"/>
        <v>lu</v>
      </c>
      <c r="C387">
        <f>C386</f>
        <v>1</v>
      </c>
      <c r="D387" t="s">
        <v>1496</v>
      </c>
      <c r="E387" s="14">
        <v>46398</v>
      </c>
      <c r="F387" t="str">
        <f t="shared" si="97"/>
        <v>ordinario_s1_lu</v>
      </c>
      <c r="G387" s="15" t="str">
        <f t="shared" si="98"/>
        <v>"11/01/2027": "ordinario_s1_lu",</v>
      </c>
      <c r="H387" t="str">
        <f t="shared" si="92"/>
        <v/>
      </c>
    </row>
    <row r="388" spans="1:12">
      <c r="A388">
        <f t="shared" si="94"/>
        <v>2027</v>
      </c>
      <c r="B388" t="str">
        <f t="shared" si="95"/>
        <v>ma</v>
      </c>
      <c r="C388">
        <f>C387</f>
        <v>1</v>
      </c>
      <c r="D388" t="s">
        <v>1496</v>
      </c>
      <c r="E388" s="14">
        <f>+E387+1</f>
        <v>46399</v>
      </c>
      <c r="F388" t="str">
        <f t="shared" si="97"/>
        <v>ordinario_s1_ma</v>
      </c>
      <c r="G388" s="15" t="str">
        <f t="shared" si="98"/>
        <v>"12/01/2027": "ordinario_s1_ma",</v>
      </c>
      <c r="H388" t="str">
        <f t="shared" si="92"/>
        <v/>
      </c>
    </row>
    <row r="389" spans="1:12">
      <c r="A389">
        <f t="shared" si="94"/>
        <v>2027</v>
      </c>
      <c r="B389" t="str">
        <f t="shared" si="95"/>
        <v>mi</v>
      </c>
      <c r="C389">
        <f t="shared" ref="C389:C392" si="103">C388</f>
        <v>1</v>
      </c>
      <c r="D389" t="s">
        <v>1496</v>
      </c>
      <c r="E389" s="14">
        <f t="shared" ref="E389:E452" si="104">+E388+1</f>
        <v>46400</v>
      </c>
      <c r="F389" t="str">
        <f t="shared" si="97"/>
        <v>ordinario_s1_mi</v>
      </c>
      <c r="G389" s="15" t="str">
        <f t="shared" si="98"/>
        <v>"13/01/2027": "ordinario_s1_mi",</v>
      </c>
      <c r="H389" t="str">
        <f>IFERROR(VLOOKUP(E389, Resumen!$B$9:$C$28, 2, FALSE), IF(B389="do", "// TIEMPO " &amp; UPPER(D389) &amp; " SEMANA " &amp; C389, ""))</f>
        <v/>
      </c>
      <c r="L389" t="str">
        <f>IFERROR(VLOOKUP(E389, Resumen!$B$9:$C$28, 2, FALSE), IF(B389="do", "// TIEMPO " &amp; UPPER(D389) &amp; " SEMANA " &amp; C389, ""))</f>
        <v/>
      </c>
    </row>
    <row r="390" spans="1:12">
      <c r="A390">
        <f t="shared" si="94"/>
        <v>2027</v>
      </c>
      <c r="B390" t="str">
        <f t="shared" si="95"/>
        <v>ju</v>
      </c>
      <c r="C390">
        <f t="shared" si="103"/>
        <v>1</v>
      </c>
      <c r="D390" t="s">
        <v>1496</v>
      </c>
      <c r="E390" s="14">
        <f t="shared" si="104"/>
        <v>46401</v>
      </c>
      <c r="F390" t="str">
        <f t="shared" si="97"/>
        <v>ordinario_s1_ju</v>
      </c>
      <c r="G390" s="15" t="str">
        <f t="shared" si="98"/>
        <v>"14/01/2027": "ordinario_s1_ju",</v>
      </c>
      <c r="H390" t="str">
        <f t="shared" si="92"/>
        <v/>
      </c>
    </row>
    <row r="391" spans="1:12">
      <c r="A391">
        <f t="shared" si="94"/>
        <v>2027</v>
      </c>
      <c r="B391" t="str">
        <f t="shared" si="95"/>
        <v>vi</v>
      </c>
      <c r="C391">
        <f t="shared" si="103"/>
        <v>1</v>
      </c>
      <c r="D391" t="s">
        <v>1496</v>
      </c>
      <c r="E391" s="14">
        <f t="shared" si="104"/>
        <v>46402</v>
      </c>
      <c r="F391" t="str">
        <f t="shared" si="97"/>
        <v>ordinario_s1_vi</v>
      </c>
      <c r="G391" s="15" t="str">
        <f t="shared" si="98"/>
        <v>"15/01/2027": "ordinario_s1_vi",</v>
      </c>
      <c r="H391" t="str">
        <f t="shared" si="92"/>
        <v/>
      </c>
    </row>
    <row r="392" spans="1:12">
      <c r="A392">
        <f t="shared" si="94"/>
        <v>2027</v>
      </c>
      <c r="B392" t="str">
        <f t="shared" si="95"/>
        <v>sa</v>
      </c>
      <c r="C392">
        <f t="shared" si="103"/>
        <v>1</v>
      </c>
      <c r="D392" t="s">
        <v>1496</v>
      </c>
      <c r="E392" s="14">
        <f t="shared" si="104"/>
        <v>46403</v>
      </c>
      <c r="F392" t="str">
        <f t="shared" si="97"/>
        <v>ordinario_s1_sa</v>
      </c>
      <c r="G392" s="15" t="str">
        <f t="shared" si="98"/>
        <v>"16/01/2027": "ordinario_s1_sa",</v>
      </c>
      <c r="H392" t="str">
        <f t="shared" si="92"/>
        <v/>
      </c>
    </row>
    <row r="393" spans="1:12">
      <c r="A393">
        <f t="shared" si="94"/>
        <v>2027</v>
      </c>
      <c r="B393" t="str">
        <f t="shared" si="95"/>
        <v>do</v>
      </c>
      <c r="C393">
        <f>+C392+1</f>
        <v>2</v>
      </c>
      <c r="D393" t="s">
        <v>1496</v>
      </c>
      <c r="E393" s="14">
        <f t="shared" si="104"/>
        <v>46404</v>
      </c>
      <c r="F393" t="str">
        <f t="shared" si="97"/>
        <v>ordinario_s2_do</v>
      </c>
      <c r="G393" s="15" t="str">
        <f t="shared" si="98"/>
        <v>"17/01/2027": "ordinario_s2_do",</v>
      </c>
      <c r="H393" t="str">
        <f>IF(B393="do", "// TIEMPO " &amp; UPPER(D393) &amp; " SEMANA " &amp; C393, "")</f>
        <v>// TIEMPO ORDINARIO SEMANA 2</v>
      </c>
    </row>
    <row r="394" spans="1:12">
      <c r="A394">
        <f t="shared" si="94"/>
        <v>2027</v>
      </c>
      <c r="B394" t="str">
        <f t="shared" si="95"/>
        <v>lu</v>
      </c>
      <c r="C394">
        <f>C393</f>
        <v>2</v>
      </c>
      <c r="D394" t="s">
        <v>1496</v>
      </c>
      <c r="E394" s="14">
        <f t="shared" si="104"/>
        <v>46405</v>
      </c>
      <c r="F394" t="str">
        <f t="shared" si="97"/>
        <v>ordinario_s2_lu</v>
      </c>
      <c r="G394" s="15" t="str">
        <f t="shared" si="98"/>
        <v>"18/01/2027": "ordinario_s2_lu",</v>
      </c>
      <c r="H394" t="str">
        <f t="shared" ref="H394:H457" si="105">IF(B394="do", "// TIEMPO " &amp; UPPER(D394) &amp; " SEMANA " &amp; C394, "")</f>
        <v/>
      </c>
    </row>
    <row r="395" spans="1:12">
      <c r="A395">
        <f t="shared" si="94"/>
        <v>2027</v>
      </c>
      <c r="B395" t="str">
        <f t="shared" si="95"/>
        <v>ma</v>
      </c>
      <c r="C395">
        <f>C394</f>
        <v>2</v>
      </c>
      <c r="D395" t="s">
        <v>1496</v>
      </c>
      <c r="E395" s="14">
        <f t="shared" si="104"/>
        <v>46406</v>
      </c>
      <c r="F395" t="str">
        <f t="shared" si="97"/>
        <v>ordinario_s2_ma</v>
      </c>
      <c r="G395" s="15" t="str">
        <f t="shared" si="98"/>
        <v>"19/01/2027": "ordinario_s2_ma",</v>
      </c>
      <c r="H395" t="str">
        <f t="shared" si="105"/>
        <v/>
      </c>
    </row>
    <row r="396" spans="1:12">
      <c r="A396">
        <f t="shared" si="94"/>
        <v>2027</v>
      </c>
      <c r="B396" t="str">
        <f t="shared" si="95"/>
        <v>mi</v>
      </c>
      <c r="C396">
        <f t="shared" ref="C396:C399" si="106">C395</f>
        <v>2</v>
      </c>
      <c r="D396" t="s">
        <v>1496</v>
      </c>
      <c r="E396" s="14">
        <f t="shared" si="104"/>
        <v>46407</v>
      </c>
      <c r="F396" t="str">
        <f t="shared" si="97"/>
        <v>ordinario_s2_mi</v>
      </c>
      <c r="G396" s="15" t="str">
        <f t="shared" si="98"/>
        <v>"20/01/2027": "ordinario_s2_mi",</v>
      </c>
      <c r="H396" t="str">
        <f t="shared" si="105"/>
        <v/>
      </c>
    </row>
    <row r="397" spans="1:12">
      <c r="A397">
        <f t="shared" si="94"/>
        <v>2027</v>
      </c>
      <c r="B397" t="str">
        <f t="shared" si="95"/>
        <v>ju</v>
      </c>
      <c r="C397">
        <f t="shared" si="106"/>
        <v>2</v>
      </c>
      <c r="D397" t="s">
        <v>1496</v>
      </c>
      <c r="E397" s="14">
        <f t="shared" si="104"/>
        <v>46408</v>
      </c>
      <c r="F397" t="str">
        <f t="shared" si="97"/>
        <v>ordinario_s2_ju</v>
      </c>
      <c r="G397" s="15" t="str">
        <f t="shared" si="98"/>
        <v>"21/01/2027": "ordinario_s2_ju",</v>
      </c>
      <c r="H397" t="str">
        <f t="shared" si="105"/>
        <v/>
      </c>
    </row>
    <row r="398" spans="1:12">
      <c r="A398">
        <f t="shared" si="94"/>
        <v>2027</v>
      </c>
      <c r="B398" t="str">
        <f t="shared" si="95"/>
        <v>vi</v>
      </c>
      <c r="C398">
        <f t="shared" si="106"/>
        <v>2</v>
      </c>
      <c r="D398" t="s">
        <v>1496</v>
      </c>
      <c r="E398" s="14">
        <f t="shared" si="104"/>
        <v>46409</v>
      </c>
      <c r="F398" t="str">
        <f t="shared" si="97"/>
        <v>ordinario_s2_vi</v>
      </c>
      <c r="G398" s="15" t="str">
        <f t="shared" si="98"/>
        <v>"22/01/2027": "ordinario_s2_vi",</v>
      </c>
      <c r="H398" t="str">
        <f t="shared" si="105"/>
        <v/>
      </c>
    </row>
    <row r="399" spans="1:12">
      <c r="A399">
        <f t="shared" si="94"/>
        <v>2027</v>
      </c>
      <c r="B399" t="str">
        <f t="shared" si="95"/>
        <v>sa</v>
      </c>
      <c r="C399">
        <f t="shared" si="106"/>
        <v>2</v>
      </c>
      <c r="D399" t="s">
        <v>1496</v>
      </c>
      <c r="E399" s="14">
        <f t="shared" si="104"/>
        <v>46410</v>
      </c>
      <c r="F399" t="str">
        <f t="shared" si="97"/>
        <v>ordinario_s2_sa</v>
      </c>
      <c r="G399" s="15" t="str">
        <f t="shared" si="98"/>
        <v>"23/01/2027": "ordinario_s2_sa",</v>
      </c>
      <c r="H399" t="str">
        <f t="shared" si="105"/>
        <v/>
      </c>
    </row>
    <row r="400" spans="1:12">
      <c r="A400">
        <f t="shared" si="94"/>
        <v>2027</v>
      </c>
      <c r="B400" t="str">
        <f t="shared" si="95"/>
        <v>do</v>
      </c>
      <c r="C400">
        <f>+C399+1</f>
        <v>3</v>
      </c>
      <c r="D400" t="s">
        <v>1496</v>
      </c>
      <c r="E400" s="14">
        <f t="shared" si="104"/>
        <v>46411</v>
      </c>
      <c r="F400" t="str">
        <f t="shared" si="97"/>
        <v>ordinario_s3_do</v>
      </c>
      <c r="G400" s="15" t="str">
        <f t="shared" si="98"/>
        <v>"24/01/2027": "ordinario_s3_do",</v>
      </c>
      <c r="H400" t="str">
        <f t="shared" si="105"/>
        <v>// TIEMPO ORDINARIO SEMANA 3</v>
      </c>
    </row>
    <row r="401" spans="1:8">
      <c r="A401">
        <f t="shared" si="94"/>
        <v>2027</v>
      </c>
      <c r="B401" t="str">
        <f t="shared" si="95"/>
        <v>lu</v>
      </c>
      <c r="C401">
        <f>C400</f>
        <v>3</v>
      </c>
      <c r="D401" t="s">
        <v>1496</v>
      </c>
      <c r="E401" s="14">
        <f t="shared" si="104"/>
        <v>46412</v>
      </c>
      <c r="F401" t="str">
        <f t="shared" si="97"/>
        <v>ordinario_s3_lu</v>
      </c>
      <c r="G401" s="15" t="str">
        <f t="shared" si="98"/>
        <v>"25/01/2027": "ordinario_s3_lu",</v>
      </c>
      <c r="H401" t="str">
        <f t="shared" si="105"/>
        <v/>
      </c>
    </row>
    <row r="402" spans="1:8">
      <c r="A402">
        <f t="shared" si="94"/>
        <v>2027</v>
      </c>
      <c r="B402" t="str">
        <f t="shared" si="95"/>
        <v>ma</v>
      </c>
      <c r="C402">
        <f>C401</f>
        <v>3</v>
      </c>
      <c r="D402" t="s">
        <v>1496</v>
      </c>
      <c r="E402" s="14">
        <f t="shared" si="104"/>
        <v>46413</v>
      </c>
      <c r="F402" t="str">
        <f t="shared" si="97"/>
        <v>ordinario_s3_ma</v>
      </c>
      <c r="G402" s="15" t="str">
        <f t="shared" si="98"/>
        <v>"26/01/2027": "ordinario_s3_ma",</v>
      </c>
      <c r="H402" t="str">
        <f t="shared" si="105"/>
        <v/>
      </c>
    </row>
    <row r="403" spans="1:8">
      <c r="A403">
        <f t="shared" si="94"/>
        <v>2027</v>
      </c>
      <c r="B403" t="str">
        <f t="shared" si="95"/>
        <v>mi</v>
      </c>
      <c r="C403">
        <f t="shared" ref="C403:C406" si="107">C402</f>
        <v>3</v>
      </c>
      <c r="D403" t="s">
        <v>1496</v>
      </c>
      <c r="E403" s="14">
        <f t="shared" si="104"/>
        <v>46414</v>
      </c>
      <c r="F403" t="str">
        <f t="shared" si="97"/>
        <v>ordinario_s3_mi</v>
      </c>
      <c r="G403" s="15" t="str">
        <f t="shared" si="98"/>
        <v>"27/01/2027": "ordinario_s3_mi",</v>
      </c>
      <c r="H403" t="str">
        <f t="shared" si="105"/>
        <v/>
      </c>
    </row>
    <row r="404" spans="1:8">
      <c r="A404">
        <f t="shared" si="94"/>
        <v>2027</v>
      </c>
      <c r="B404" t="str">
        <f t="shared" si="95"/>
        <v>ju</v>
      </c>
      <c r="C404">
        <f t="shared" si="107"/>
        <v>3</v>
      </c>
      <c r="D404" t="s">
        <v>1496</v>
      </c>
      <c r="E404" s="14">
        <f t="shared" si="104"/>
        <v>46415</v>
      </c>
      <c r="F404" t="str">
        <f t="shared" si="97"/>
        <v>ordinario_s3_ju</v>
      </c>
      <c r="G404" s="15" t="str">
        <f t="shared" si="98"/>
        <v>"28/01/2027": "ordinario_s3_ju",</v>
      </c>
      <c r="H404" t="str">
        <f t="shared" si="105"/>
        <v/>
      </c>
    </row>
    <row r="405" spans="1:8">
      <c r="A405">
        <f t="shared" si="94"/>
        <v>2027</v>
      </c>
      <c r="B405" t="str">
        <f t="shared" si="95"/>
        <v>vi</v>
      </c>
      <c r="C405">
        <f t="shared" si="107"/>
        <v>3</v>
      </c>
      <c r="D405" t="s">
        <v>1496</v>
      </c>
      <c r="E405" s="14">
        <f t="shared" si="104"/>
        <v>46416</v>
      </c>
      <c r="F405" t="str">
        <f t="shared" si="97"/>
        <v>ordinario_s3_vi</v>
      </c>
      <c r="G405" s="15" t="str">
        <f t="shared" si="98"/>
        <v>"29/01/2027": "ordinario_s3_vi",</v>
      </c>
      <c r="H405" t="str">
        <f t="shared" si="105"/>
        <v/>
      </c>
    </row>
    <row r="406" spans="1:8">
      <c r="A406">
        <f t="shared" si="94"/>
        <v>2027</v>
      </c>
      <c r="B406" t="str">
        <f t="shared" si="95"/>
        <v>sa</v>
      </c>
      <c r="C406">
        <f t="shared" si="107"/>
        <v>3</v>
      </c>
      <c r="D406" t="s">
        <v>1496</v>
      </c>
      <c r="E406" s="14">
        <f t="shared" si="104"/>
        <v>46417</v>
      </c>
      <c r="F406" t="str">
        <f t="shared" si="97"/>
        <v>ordinario_s3_sa</v>
      </c>
      <c r="G406" s="15" t="str">
        <f t="shared" si="98"/>
        <v>"30/01/2027": "ordinario_s3_sa",</v>
      </c>
      <c r="H406" t="str">
        <f t="shared" si="105"/>
        <v/>
      </c>
    </row>
    <row r="407" spans="1:8">
      <c r="A407">
        <f t="shared" si="94"/>
        <v>2027</v>
      </c>
      <c r="B407" t="str">
        <f t="shared" si="95"/>
        <v>do</v>
      </c>
      <c r="C407">
        <f>+C406+1</f>
        <v>4</v>
      </c>
      <c r="D407" t="s">
        <v>1496</v>
      </c>
      <c r="E407" s="14">
        <f t="shared" si="104"/>
        <v>46418</v>
      </c>
      <c r="F407" t="str">
        <f t="shared" si="97"/>
        <v>ordinario_s4_do</v>
      </c>
      <c r="G407" s="15" t="str">
        <f t="shared" si="98"/>
        <v>"31/01/2027": "ordinario_s4_do",</v>
      </c>
      <c r="H407" t="str">
        <f t="shared" si="105"/>
        <v>// TIEMPO ORDINARIO SEMANA 4</v>
      </c>
    </row>
    <row r="408" spans="1:8">
      <c r="A408">
        <f t="shared" si="94"/>
        <v>2027</v>
      </c>
      <c r="B408" t="str">
        <f t="shared" si="95"/>
        <v>lu</v>
      </c>
      <c r="C408">
        <f>C407</f>
        <v>4</v>
      </c>
      <c r="D408" t="s">
        <v>1496</v>
      </c>
      <c r="E408" s="14">
        <f t="shared" si="104"/>
        <v>46419</v>
      </c>
      <c r="F408" t="str">
        <f t="shared" si="97"/>
        <v>ordinario_s4_lu</v>
      </c>
      <c r="G408" s="15" t="str">
        <f t="shared" si="98"/>
        <v>"01/02/2027": "ordinario_s4_lu",</v>
      </c>
      <c r="H408" t="str">
        <f t="shared" si="105"/>
        <v/>
      </c>
    </row>
    <row r="409" spans="1:8">
      <c r="A409">
        <f t="shared" si="94"/>
        <v>2027</v>
      </c>
      <c r="B409" t="str">
        <f t="shared" si="95"/>
        <v>ma</v>
      </c>
      <c r="C409">
        <f>C408</f>
        <v>4</v>
      </c>
      <c r="D409" t="s">
        <v>1496</v>
      </c>
      <c r="E409" s="14">
        <f t="shared" si="104"/>
        <v>46420</v>
      </c>
      <c r="F409" t="str">
        <f t="shared" si="97"/>
        <v>ordinario_s4_ma</v>
      </c>
      <c r="G409" s="15" t="str">
        <f t="shared" si="98"/>
        <v>"02/02/2027": "ordinario_s4_ma",</v>
      </c>
      <c r="H409" t="str">
        <f t="shared" si="105"/>
        <v/>
      </c>
    </row>
    <row r="410" spans="1:8">
      <c r="A410">
        <f t="shared" si="94"/>
        <v>2027</v>
      </c>
      <c r="B410" t="str">
        <f t="shared" si="95"/>
        <v>mi</v>
      </c>
      <c r="C410">
        <f t="shared" ref="C410:C413" si="108">C409</f>
        <v>4</v>
      </c>
      <c r="D410" t="s">
        <v>1496</v>
      </c>
      <c r="E410" s="14">
        <f t="shared" si="104"/>
        <v>46421</v>
      </c>
      <c r="F410" t="str">
        <f t="shared" si="97"/>
        <v>ordinario_s4_mi</v>
      </c>
      <c r="G410" s="15" t="str">
        <f t="shared" si="98"/>
        <v>"03/02/2027": "ordinario_s4_mi",</v>
      </c>
      <c r="H410" t="str">
        <f t="shared" si="105"/>
        <v/>
      </c>
    </row>
    <row r="411" spans="1:8">
      <c r="A411">
        <f t="shared" si="94"/>
        <v>2027</v>
      </c>
      <c r="B411" t="str">
        <f t="shared" si="95"/>
        <v>ju</v>
      </c>
      <c r="C411">
        <f t="shared" si="108"/>
        <v>4</v>
      </c>
      <c r="D411" t="s">
        <v>1496</v>
      </c>
      <c r="E411" s="14">
        <f t="shared" si="104"/>
        <v>46422</v>
      </c>
      <c r="F411" t="str">
        <f t="shared" si="97"/>
        <v>ordinario_s4_ju</v>
      </c>
      <c r="G411" s="15" t="str">
        <f t="shared" si="98"/>
        <v>"04/02/2027": "ordinario_s4_ju",</v>
      </c>
      <c r="H411" t="str">
        <f t="shared" si="105"/>
        <v/>
      </c>
    </row>
    <row r="412" spans="1:8">
      <c r="A412">
        <f t="shared" si="94"/>
        <v>2027</v>
      </c>
      <c r="B412" t="str">
        <f t="shared" si="95"/>
        <v>vi</v>
      </c>
      <c r="C412">
        <f t="shared" si="108"/>
        <v>4</v>
      </c>
      <c r="D412" t="s">
        <v>1496</v>
      </c>
      <c r="E412" s="14">
        <f t="shared" si="104"/>
        <v>46423</v>
      </c>
      <c r="F412" t="str">
        <f t="shared" si="97"/>
        <v>ordinario_s4_vi</v>
      </c>
      <c r="G412" s="15" t="str">
        <f t="shared" si="98"/>
        <v>"05/02/2027": "ordinario_s4_vi",</v>
      </c>
      <c r="H412" t="str">
        <f t="shared" si="105"/>
        <v/>
      </c>
    </row>
    <row r="413" spans="1:8">
      <c r="A413">
        <f t="shared" si="94"/>
        <v>2027</v>
      </c>
      <c r="B413" t="str">
        <f t="shared" si="95"/>
        <v>sa</v>
      </c>
      <c r="C413">
        <f t="shared" si="108"/>
        <v>4</v>
      </c>
      <c r="D413" t="s">
        <v>1496</v>
      </c>
      <c r="E413" s="14">
        <f t="shared" si="104"/>
        <v>46424</v>
      </c>
      <c r="F413" t="str">
        <f t="shared" si="97"/>
        <v>ordinario_s4_sa</v>
      </c>
      <c r="G413" s="15" t="str">
        <f t="shared" si="98"/>
        <v>"06/02/2027": "ordinario_s4_sa",</v>
      </c>
      <c r="H413" t="str">
        <f t="shared" si="105"/>
        <v/>
      </c>
    </row>
    <row r="414" spans="1:8">
      <c r="A414">
        <f t="shared" si="94"/>
        <v>2027</v>
      </c>
      <c r="B414" t="str">
        <f t="shared" si="95"/>
        <v>do</v>
      </c>
      <c r="C414">
        <f>+C413+1</f>
        <v>5</v>
      </c>
      <c r="D414" t="s">
        <v>1496</v>
      </c>
      <c r="E414" s="14">
        <f t="shared" si="104"/>
        <v>46425</v>
      </c>
      <c r="F414" t="str">
        <f t="shared" si="97"/>
        <v>ordinario_s5_do</v>
      </c>
      <c r="G414" s="15" t="str">
        <f t="shared" si="98"/>
        <v>"07/02/2027": "ordinario_s5_do",</v>
      </c>
      <c r="H414" t="str">
        <f t="shared" si="105"/>
        <v>// TIEMPO ORDINARIO SEMANA 5</v>
      </c>
    </row>
    <row r="415" spans="1:8">
      <c r="A415">
        <f t="shared" si="94"/>
        <v>2027</v>
      </c>
      <c r="B415" t="str">
        <f t="shared" si="95"/>
        <v>lu</v>
      </c>
      <c r="C415">
        <f>C414</f>
        <v>5</v>
      </c>
      <c r="D415" t="s">
        <v>1496</v>
      </c>
      <c r="E415" s="14">
        <f t="shared" si="104"/>
        <v>46426</v>
      </c>
      <c r="F415" t="str">
        <f t="shared" si="97"/>
        <v>ordinario_s5_lu</v>
      </c>
      <c r="G415" s="15" t="str">
        <f t="shared" si="98"/>
        <v>"08/02/2027": "ordinario_s5_lu",</v>
      </c>
      <c r="H415" t="str">
        <f t="shared" si="105"/>
        <v/>
      </c>
    </row>
    <row r="416" spans="1:8">
      <c r="A416">
        <f t="shared" si="94"/>
        <v>2027</v>
      </c>
      <c r="B416" t="str">
        <f t="shared" si="95"/>
        <v>ma</v>
      </c>
      <c r="C416">
        <f>C415</f>
        <v>5</v>
      </c>
      <c r="D416" t="s">
        <v>1496</v>
      </c>
      <c r="E416" s="14">
        <f t="shared" si="104"/>
        <v>46427</v>
      </c>
      <c r="F416" t="str">
        <f t="shared" si="97"/>
        <v>ordinario_s5_ma</v>
      </c>
      <c r="G416" s="15" t="str">
        <f t="shared" si="98"/>
        <v>"09/02/2027": "ordinario_s5_ma",</v>
      </c>
      <c r="H416" t="str">
        <f t="shared" si="105"/>
        <v/>
      </c>
    </row>
    <row r="417" spans="1:8">
      <c r="A417">
        <f t="shared" ref="A417:A480" si="109">YEAR(E417)</f>
        <v>2027</v>
      </c>
      <c r="B417" t="str">
        <f t="shared" ref="B417:B462" si="110">CHOOSE(WEEKDAY(E417), "do", "lu", "ma", "mi", "ju", "vi", "sa")</f>
        <v>mi</v>
      </c>
      <c r="C417">
        <f t="shared" ref="C417:C420" si="111">C416</f>
        <v>5</v>
      </c>
      <c r="D417" t="s">
        <v>1496</v>
      </c>
      <c r="E417" s="14">
        <f t="shared" si="104"/>
        <v>46428</v>
      </c>
      <c r="F417" t="str">
        <f t="shared" si="97"/>
        <v>ordinario_s5_mi</v>
      </c>
      <c r="G417" s="15" t="str">
        <f t="shared" si="98"/>
        <v>"10/02/2027": "ordinario_s5_mi",</v>
      </c>
      <c r="H417" t="str">
        <f>IFERROR(VLOOKUP(E417, Resumen!$B$9:$C$28, 2, FALSE), IF(B417="do", "// TIEMPO " &amp; UPPER(D417) &amp; " SEMANA " &amp; C417, ""))</f>
        <v>"// Miercoles de Ceniza"</v>
      </c>
    </row>
    <row r="418" spans="1:8">
      <c r="A418">
        <f t="shared" si="109"/>
        <v>2027</v>
      </c>
      <c r="B418" t="str">
        <f t="shared" si="110"/>
        <v>ju</v>
      </c>
      <c r="C418">
        <f t="shared" si="111"/>
        <v>5</v>
      </c>
      <c r="D418" t="s">
        <v>1496</v>
      </c>
      <c r="E418" s="14">
        <f t="shared" si="104"/>
        <v>46429</v>
      </c>
      <c r="F418" t="str">
        <f t="shared" si="97"/>
        <v>ordinario_s5_ju</v>
      </c>
      <c r="G418" s="15" t="str">
        <f t="shared" si="98"/>
        <v>"11/02/2027": "ordinario_s5_ju",</v>
      </c>
      <c r="H418" t="str">
        <f t="shared" si="105"/>
        <v/>
      </c>
    </row>
    <row r="419" spans="1:8">
      <c r="A419">
        <f t="shared" si="109"/>
        <v>2027</v>
      </c>
      <c r="B419" t="str">
        <f t="shared" si="110"/>
        <v>vi</v>
      </c>
      <c r="C419">
        <f t="shared" si="111"/>
        <v>5</v>
      </c>
      <c r="D419" t="s">
        <v>1496</v>
      </c>
      <c r="E419" s="14">
        <f t="shared" si="104"/>
        <v>46430</v>
      </c>
      <c r="F419" t="str">
        <f t="shared" ref="F419:F482" si="112">_xlfn.CONCAT(D419,"_s",C419,"_",B419)</f>
        <v>ordinario_s5_vi</v>
      </c>
      <c r="G419" s="15" t="str">
        <f t="shared" ref="G419:G482" si="113">"""" &amp; TEXT(E419, "dd/mm/yyyy") &amp; """: """ &amp; F419 &amp; ""","</f>
        <v>"12/02/2027": "ordinario_s5_vi",</v>
      </c>
      <c r="H419" t="str">
        <f t="shared" si="105"/>
        <v/>
      </c>
    </row>
    <row r="420" spans="1:8">
      <c r="A420">
        <f t="shared" si="109"/>
        <v>2027</v>
      </c>
      <c r="B420" t="str">
        <f t="shared" si="110"/>
        <v>sa</v>
      </c>
      <c r="C420">
        <f t="shared" si="111"/>
        <v>5</v>
      </c>
      <c r="D420" t="s">
        <v>1496</v>
      </c>
      <c r="E420" s="14">
        <f t="shared" si="104"/>
        <v>46431</v>
      </c>
      <c r="F420" t="str">
        <f t="shared" si="112"/>
        <v>ordinario_s5_sa</v>
      </c>
      <c r="G420" s="15" t="str">
        <f t="shared" si="113"/>
        <v>"13/02/2027": "ordinario_s5_sa",</v>
      </c>
      <c r="H420" t="str">
        <f t="shared" si="105"/>
        <v/>
      </c>
    </row>
    <row r="421" spans="1:8">
      <c r="A421">
        <f t="shared" si="109"/>
        <v>2027</v>
      </c>
      <c r="B421" t="str">
        <f t="shared" si="110"/>
        <v>do</v>
      </c>
      <c r="C421">
        <f>+C420+1</f>
        <v>6</v>
      </c>
      <c r="D421" t="s">
        <v>1496</v>
      </c>
      <c r="E421" s="14">
        <f t="shared" si="104"/>
        <v>46432</v>
      </c>
      <c r="F421" t="str">
        <f t="shared" si="112"/>
        <v>ordinario_s6_do</v>
      </c>
      <c r="G421" s="15" t="str">
        <f t="shared" si="113"/>
        <v>"14/02/2027": "ordinario_s6_do",</v>
      </c>
      <c r="H421" t="str">
        <f t="shared" si="105"/>
        <v>// TIEMPO ORDINARIO SEMANA 6</v>
      </c>
    </row>
    <row r="422" spans="1:8">
      <c r="A422">
        <f t="shared" si="109"/>
        <v>2027</v>
      </c>
      <c r="B422" t="str">
        <f t="shared" si="110"/>
        <v>lu</v>
      </c>
      <c r="C422">
        <f>C421</f>
        <v>6</v>
      </c>
      <c r="D422" t="s">
        <v>1496</v>
      </c>
      <c r="E422" s="14">
        <f t="shared" si="104"/>
        <v>46433</v>
      </c>
      <c r="F422" t="str">
        <f t="shared" si="112"/>
        <v>ordinario_s6_lu</v>
      </c>
      <c r="G422" s="15" t="str">
        <f t="shared" si="113"/>
        <v>"15/02/2027": "ordinario_s6_lu",</v>
      </c>
      <c r="H422" t="str">
        <f t="shared" si="105"/>
        <v/>
      </c>
    </row>
    <row r="423" spans="1:8">
      <c r="A423">
        <f t="shared" si="109"/>
        <v>2027</v>
      </c>
      <c r="B423" t="str">
        <f t="shared" si="110"/>
        <v>ma</v>
      </c>
      <c r="C423">
        <f>C422</f>
        <v>6</v>
      </c>
      <c r="D423" t="s">
        <v>1496</v>
      </c>
      <c r="E423" s="14">
        <f t="shared" si="104"/>
        <v>46434</v>
      </c>
      <c r="F423" t="str">
        <f t="shared" si="112"/>
        <v>ordinario_s6_ma</v>
      </c>
      <c r="G423" s="15" t="str">
        <f t="shared" si="113"/>
        <v>"16/02/2027": "ordinario_s6_ma",</v>
      </c>
      <c r="H423" t="str">
        <f t="shared" si="105"/>
        <v/>
      </c>
    </row>
    <row r="424" spans="1:8">
      <c r="A424">
        <f t="shared" si="109"/>
        <v>2027</v>
      </c>
      <c r="B424" t="str">
        <f t="shared" si="110"/>
        <v>mi</v>
      </c>
      <c r="C424">
        <f t="shared" ref="C424:C427" si="114">C423</f>
        <v>6</v>
      </c>
      <c r="D424" t="s">
        <v>1496</v>
      </c>
      <c r="E424" s="14">
        <f t="shared" si="104"/>
        <v>46435</v>
      </c>
      <c r="F424" t="str">
        <f t="shared" si="112"/>
        <v>ordinario_s6_mi</v>
      </c>
      <c r="G424" s="15" t="str">
        <f t="shared" si="113"/>
        <v>"17/02/2027": "ordinario_s6_mi",</v>
      </c>
      <c r="H424" t="str">
        <f t="shared" si="105"/>
        <v/>
      </c>
    </row>
    <row r="425" spans="1:8">
      <c r="A425">
        <f t="shared" si="109"/>
        <v>2027</v>
      </c>
      <c r="B425" t="str">
        <f t="shared" si="110"/>
        <v>ju</v>
      </c>
      <c r="C425">
        <f t="shared" si="114"/>
        <v>6</v>
      </c>
      <c r="D425" t="s">
        <v>1496</v>
      </c>
      <c r="E425" s="14">
        <f t="shared" si="104"/>
        <v>46436</v>
      </c>
      <c r="F425" t="str">
        <f t="shared" si="112"/>
        <v>ordinario_s6_ju</v>
      </c>
      <c r="G425" s="15" t="str">
        <f t="shared" si="113"/>
        <v>"18/02/2027": "ordinario_s6_ju",</v>
      </c>
      <c r="H425" t="str">
        <f t="shared" si="105"/>
        <v/>
      </c>
    </row>
    <row r="426" spans="1:8">
      <c r="A426">
        <f t="shared" si="109"/>
        <v>2027</v>
      </c>
      <c r="B426" t="str">
        <f t="shared" si="110"/>
        <v>vi</v>
      </c>
      <c r="C426">
        <f t="shared" si="114"/>
        <v>6</v>
      </c>
      <c r="D426" t="s">
        <v>1496</v>
      </c>
      <c r="E426" s="14">
        <f t="shared" si="104"/>
        <v>46437</v>
      </c>
      <c r="F426" t="str">
        <f t="shared" si="112"/>
        <v>ordinario_s6_vi</v>
      </c>
      <c r="G426" s="15" t="str">
        <f t="shared" si="113"/>
        <v>"19/02/2027": "ordinario_s6_vi",</v>
      </c>
      <c r="H426" t="str">
        <f t="shared" si="105"/>
        <v/>
      </c>
    </row>
    <row r="427" spans="1:8">
      <c r="A427">
        <f t="shared" si="109"/>
        <v>2027</v>
      </c>
      <c r="B427" t="str">
        <f t="shared" si="110"/>
        <v>sa</v>
      </c>
      <c r="C427">
        <f t="shared" si="114"/>
        <v>6</v>
      </c>
      <c r="D427" t="s">
        <v>1496</v>
      </c>
      <c r="E427" s="14">
        <f t="shared" si="104"/>
        <v>46438</v>
      </c>
      <c r="F427" t="str">
        <f t="shared" si="112"/>
        <v>ordinario_s6_sa</v>
      </c>
      <c r="G427" s="15" t="str">
        <f t="shared" si="113"/>
        <v>"20/02/2027": "ordinario_s6_sa",</v>
      </c>
      <c r="H427" t="str">
        <f t="shared" si="105"/>
        <v/>
      </c>
    </row>
    <row r="428" spans="1:8">
      <c r="A428">
        <f t="shared" si="109"/>
        <v>2027</v>
      </c>
      <c r="B428" t="str">
        <f t="shared" si="110"/>
        <v>do</v>
      </c>
      <c r="C428">
        <f>+C427+1</f>
        <v>7</v>
      </c>
      <c r="D428" t="s">
        <v>1496</v>
      </c>
      <c r="E428" s="14">
        <f t="shared" si="104"/>
        <v>46439</v>
      </c>
      <c r="F428" t="str">
        <f t="shared" si="112"/>
        <v>ordinario_s7_do</v>
      </c>
      <c r="G428" s="15" t="str">
        <f t="shared" si="113"/>
        <v>"21/02/2027": "ordinario_s7_do",</v>
      </c>
      <c r="H428" t="str">
        <f t="shared" si="105"/>
        <v>// TIEMPO ORDINARIO SEMANA 7</v>
      </c>
    </row>
    <row r="429" spans="1:8">
      <c r="A429">
        <f t="shared" si="109"/>
        <v>2027</v>
      </c>
      <c r="B429" t="str">
        <f t="shared" si="110"/>
        <v>lu</v>
      </c>
      <c r="C429">
        <f>C428</f>
        <v>7</v>
      </c>
      <c r="D429" t="s">
        <v>1496</v>
      </c>
      <c r="E429" s="14">
        <f t="shared" si="104"/>
        <v>46440</v>
      </c>
      <c r="F429" t="str">
        <f t="shared" si="112"/>
        <v>ordinario_s7_lu</v>
      </c>
      <c r="G429" s="15" t="str">
        <f t="shared" si="113"/>
        <v>"22/02/2027": "ordinario_s7_lu",</v>
      </c>
      <c r="H429" t="str">
        <f t="shared" si="105"/>
        <v/>
      </c>
    </row>
    <row r="430" spans="1:8">
      <c r="A430">
        <f t="shared" si="109"/>
        <v>2027</v>
      </c>
      <c r="B430" t="str">
        <f t="shared" si="110"/>
        <v>ma</v>
      </c>
      <c r="C430">
        <f>C429</f>
        <v>7</v>
      </c>
      <c r="D430" t="s">
        <v>1496</v>
      </c>
      <c r="E430" s="14">
        <f t="shared" si="104"/>
        <v>46441</v>
      </c>
      <c r="F430" t="str">
        <f t="shared" si="112"/>
        <v>ordinario_s7_ma</v>
      </c>
      <c r="G430" s="15" t="str">
        <f t="shared" si="113"/>
        <v>"23/02/2027": "ordinario_s7_ma",</v>
      </c>
      <c r="H430" t="str">
        <f t="shared" si="105"/>
        <v/>
      </c>
    </row>
    <row r="431" spans="1:8">
      <c r="A431">
        <f t="shared" si="109"/>
        <v>2027</v>
      </c>
      <c r="B431" t="str">
        <f t="shared" si="110"/>
        <v>mi</v>
      </c>
      <c r="C431">
        <f t="shared" ref="C431:C434" si="115">C430</f>
        <v>7</v>
      </c>
      <c r="D431" t="s">
        <v>1496</v>
      </c>
      <c r="E431" s="14">
        <f t="shared" si="104"/>
        <v>46442</v>
      </c>
      <c r="F431" t="str">
        <f t="shared" si="112"/>
        <v>ordinario_s7_mi</v>
      </c>
      <c r="G431" s="15" t="str">
        <f t="shared" si="113"/>
        <v>"24/02/2027": "ordinario_s7_mi",</v>
      </c>
      <c r="H431" t="str">
        <f t="shared" si="105"/>
        <v/>
      </c>
    </row>
    <row r="432" spans="1:8">
      <c r="A432">
        <f t="shared" si="109"/>
        <v>2027</v>
      </c>
      <c r="B432" t="str">
        <f t="shared" si="110"/>
        <v>ju</v>
      </c>
      <c r="C432">
        <f t="shared" si="115"/>
        <v>7</v>
      </c>
      <c r="D432" t="s">
        <v>1496</v>
      </c>
      <c r="E432" s="14">
        <f t="shared" si="104"/>
        <v>46443</v>
      </c>
      <c r="F432" t="str">
        <f t="shared" si="112"/>
        <v>ordinario_s7_ju</v>
      </c>
      <c r="G432" s="15" t="str">
        <f t="shared" si="113"/>
        <v>"25/02/2027": "ordinario_s7_ju",</v>
      </c>
      <c r="H432" t="str">
        <f t="shared" si="105"/>
        <v/>
      </c>
    </row>
    <row r="433" spans="1:8">
      <c r="A433">
        <f t="shared" si="109"/>
        <v>2027</v>
      </c>
      <c r="B433" t="str">
        <f t="shared" si="110"/>
        <v>vi</v>
      </c>
      <c r="C433">
        <f t="shared" si="115"/>
        <v>7</v>
      </c>
      <c r="D433" t="s">
        <v>1496</v>
      </c>
      <c r="E433" s="14">
        <f t="shared" si="104"/>
        <v>46444</v>
      </c>
      <c r="F433" t="str">
        <f t="shared" si="112"/>
        <v>ordinario_s7_vi</v>
      </c>
      <c r="G433" s="15" t="str">
        <f t="shared" si="113"/>
        <v>"26/02/2027": "ordinario_s7_vi",</v>
      </c>
      <c r="H433" t="str">
        <f t="shared" si="105"/>
        <v/>
      </c>
    </row>
    <row r="434" spans="1:8">
      <c r="A434">
        <f t="shared" si="109"/>
        <v>2027</v>
      </c>
      <c r="B434" t="str">
        <f t="shared" si="110"/>
        <v>sa</v>
      </c>
      <c r="C434">
        <f t="shared" si="115"/>
        <v>7</v>
      </c>
      <c r="D434" t="s">
        <v>1496</v>
      </c>
      <c r="E434" s="14">
        <f t="shared" si="104"/>
        <v>46445</v>
      </c>
      <c r="F434" t="str">
        <f t="shared" si="112"/>
        <v>ordinario_s7_sa</v>
      </c>
      <c r="G434" s="15" t="str">
        <f t="shared" si="113"/>
        <v>"27/02/2027": "ordinario_s7_sa",</v>
      </c>
      <c r="H434" t="str">
        <f t="shared" si="105"/>
        <v/>
      </c>
    </row>
    <row r="435" spans="1:8">
      <c r="A435">
        <f t="shared" si="109"/>
        <v>2027</v>
      </c>
      <c r="B435" t="str">
        <f t="shared" si="110"/>
        <v>do</v>
      </c>
      <c r="C435">
        <f>+C434+1</f>
        <v>8</v>
      </c>
      <c r="D435" t="s">
        <v>1496</v>
      </c>
      <c r="E435" s="14">
        <f t="shared" si="104"/>
        <v>46446</v>
      </c>
      <c r="F435" t="str">
        <f t="shared" si="112"/>
        <v>ordinario_s8_do</v>
      </c>
      <c r="G435" s="15" t="str">
        <f t="shared" si="113"/>
        <v>"28/02/2027": "ordinario_s8_do",</v>
      </c>
      <c r="H435" t="str">
        <f t="shared" si="105"/>
        <v>// TIEMPO ORDINARIO SEMANA 8</v>
      </c>
    </row>
    <row r="436" spans="1:8">
      <c r="A436">
        <f t="shared" si="109"/>
        <v>2027</v>
      </c>
      <c r="B436" t="str">
        <f t="shared" si="110"/>
        <v>lu</v>
      </c>
      <c r="C436">
        <f>C435</f>
        <v>8</v>
      </c>
      <c r="D436" t="s">
        <v>1496</v>
      </c>
      <c r="E436" s="14">
        <f t="shared" si="104"/>
        <v>46447</v>
      </c>
      <c r="F436" t="str">
        <f t="shared" si="112"/>
        <v>ordinario_s8_lu</v>
      </c>
      <c r="G436" s="15" t="str">
        <f t="shared" si="113"/>
        <v>"01/03/2027": "ordinario_s8_lu",</v>
      </c>
      <c r="H436" t="str">
        <f t="shared" si="105"/>
        <v/>
      </c>
    </row>
    <row r="437" spans="1:8">
      <c r="A437">
        <f t="shared" si="109"/>
        <v>2027</v>
      </c>
      <c r="B437" t="str">
        <f t="shared" si="110"/>
        <v>ma</v>
      </c>
      <c r="C437">
        <f>C436</f>
        <v>8</v>
      </c>
      <c r="D437" t="s">
        <v>1496</v>
      </c>
      <c r="E437" s="14">
        <f t="shared" si="104"/>
        <v>46448</v>
      </c>
      <c r="F437" t="str">
        <f t="shared" si="112"/>
        <v>ordinario_s8_ma</v>
      </c>
      <c r="G437" s="15" t="str">
        <f t="shared" si="113"/>
        <v>"02/03/2027": "ordinario_s8_ma",</v>
      </c>
      <c r="H437" t="str">
        <f t="shared" si="105"/>
        <v/>
      </c>
    </row>
    <row r="438" spans="1:8">
      <c r="A438">
        <f t="shared" si="109"/>
        <v>2027</v>
      </c>
      <c r="B438" t="str">
        <f t="shared" si="110"/>
        <v>mi</v>
      </c>
      <c r="C438">
        <f t="shared" ref="C438:C441" si="116">C437</f>
        <v>8</v>
      </c>
      <c r="D438" t="s">
        <v>1496</v>
      </c>
      <c r="E438" s="14">
        <f t="shared" si="104"/>
        <v>46449</v>
      </c>
      <c r="F438" t="str">
        <f t="shared" si="112"/>
        <v>ordinario_s8_mi</v>
      </c>
      <c r="G438" s="15" t="str">
        <f t="shared" si="113"/>
        <v>"03/03/2027": "ordinario_s8_mi",</v>
      </c>
      <c r="H438" t="str">
        <f t="shared" si="105"/>
        <v/>
      </c>
    </row>
    <row r="439" spans="1:8">
      <c r="A439">
        <f t="shared" si="109"/>
        <v>2027</v>
      </c>
      <c r="B439" t="str">
        <f t="shared" si="110"/>
        <v>ju</v>
      </c>
      <c r="C439">
        <f t="shared" si="116"/>
        <v>8</v>
      </c>
      <c r="D439" t="s">
        <v>1496</v>
      </c>
      <c r="E439" s="14">
        <f t="shared" si="104"/>
        <v>46450</v>
      </c>
      <c r="F439" t="str">
        <f t="shared" si="112"/>
        <v>ordinario_s8_ju</v>
      </c>
      <c r="G439" s="15" t="str">
        <f t="shared" si="113"/>
        <v>"04/03/2027": "ordinario_s8_ju",</v>
      </c>
      <c r="H439" t="str">
        <f t="shared" si="105"/>
        <v/>
      </c>
    </row>
    <row r="440" spans="1:8">
      <c r="A440">
        <f t="shared" si="109"/>
        <v>2027</v>
      </c>
      <c r="B440" t="str">
        <f t="shared" si="110"/>
        <v>vi</v>
      </c>
      <c r="C440">
        <f t="shared" si="116"/>
        <v>8</v>
      </c>
      <c r="D440" t="s">
        <v>1496</v>
      </c>
      <c r="E440" s="14">
        <f t="shared" si="104"/>
        <v>46451</v>
      </c>
      <c r="F440" t="str">
        <f t="shared" si="112"/>
        <v>ordinario_s8_vi</v>
      </c>
      <c r="G440" s="15" t="str">
        <f t="shared" si="113"/>
        <v>"05/03/2027": "ordinario_s8_vi",</v>
      </c>
      <c r="H440" t="str">
        <f t="shared" si="105"/>
        <v/>
      </c>
    </row>
    <row r="441" spans="1:8">
      <c r="A441">
        <f t="shared" si="109"/>
        <v>2027</v>
      </c>
      <c r="B441" t="str">
        <f t="shared" si="110"/>
        <v>sa</v>
      </c>
      <c r="C441">
        <f t="shared" si="116"/>
        <v>8</v>
      </c>
      <c r="D441" t="s">
        <v>1496</v>
      </c>
      <c r="E441" s="14">
        <f t="shared" si="104"/>
        <v>46452</v>
      </c>
      <c r="F441" t="str">
        <f t="shared" si="112"/>
        <v>ordinario_s8_sa</v>
      </c>
      <c r="G441" s="15" t="str">
        <f t="shared" si="113"/>
        <v>"06/03/2027": "ordinario_s8_sa",</v>
      </c>
      <c r="H441" t="str">
        <f t="shared" si="105"/>
        <v/>
      </c>
    </row>
    <row r="442" spans="1:8">
      <c r="A442">
        <f t="shared" si="109"/>
        <v>2027</v>
      </c>
      <c r="B442" t="str">
        <f t="shared" si="110"/>
        <v>do</v>
      </c>
      <c r="C442">
        <f>+C441+1</f>
        <v>9</v>
      </c>
      <c r="D442" t="s">
        <v>1496</v>
      </c>
      <c r="E442" s="14">
        <f t="shared" si="104"/>
        <v>46453</v>
      </c>
      <c r="F442" t="str">
        <f t="shared" si="112"/>
        <v>ordinario_s9_do</v>
      </c>
      <c r="G442" s="15" t="str">
        <f t="shared" si="113"/>
        <v>"07/03/2027": "ordinario_s9_do",</v>
      </c>
      <c r="H442" t="str">
        <f t="shared" si="105"/>
        <v>// TIEMPO ORDINARIO SEMANA 9</v>
      </c>
    </row>
    <row r="443" spans="1:8">
      <c r="A443">
        <f t="shared" si="109"/>
        <v>2027</v>
      </c>
      <c r="B443" t="str">
        <f t="shared" si="110"/>
        <v>lu</v>
      </c>
      <c r="C443">
        <f>C442</f>
        <v>9</v>
      </c>
      <c r="D443" t="s">
        <v>1496</v>
      </c>
      <c r="E443" s="14">
        <f t="shared" si="104"/>
        <v>46454</v>
      </c>
      <c r="F443" t="str">
        <f t="shared" si="112"/>
        <v>ordinario_s9_lu</v>
      </c>
      <c r="G443" s="15" t="str">
        <f t="shared" si="113"/>
        <v>"08/03/2027": "ordinario_s9_lu",</v>
      </c>
      <c r="H443" t="str">
        <f t="shared" si="105"/>
        <v/>
      </c>
    </row>
    <row r="444" spans="1:8">
      <c r="A444">
        <f t="shared" si="109"/>
        <v>2027</v>
      </c>
      <c r="B444" t="str">
        <f t="shared" si="110"/>
        <v>ma</v>
      </c>
      <c r="C444">
        <f>C443</f>
        <v>9</v>
      </c>
      <c r="D444" t="s">
        <v>1496</v>
      </c>
      <c r="E444" s="14">
        <f t="shared" si="104"/>
        <v>46455</v>
      </c>
      <c r="F444" t="str">
        <f t="shared" si="112"/>
        <v>ordinario_s9_ma</v>
      </c>
      <c r="G444" s="15" t="str">
        <f t="shared" si="113"/>
        <v>"09/03/2027": "ordinario_s9_ma",</v>
      </c>
      <c r="H444" t="str">
        <f t="shared" si="105"/>
        <v/>
      </c>
    </row>
    <row r="445" spans="1:8">
      <c r="A445">
        <f t="shared" si="109"/>
        <v>2027</v>
      </c>
      <c r="B445" t="str">
        <f t="shared" si="110"/>
        <v>mi</v>
      </c>
      <c r="C445">
        <f t="shared" ref="C445:C448" si="117">C444</f>
        <v>9</v>
      </c>
      <c r="D445" t="s">
        <v>1496</v>
      </c>
      <c r="E445" s="14">
        <f t="shared" si="104"/>
        <v>46456</v>
      </c>
      <c r="F445" t="str">
        <f t="shared" si="112"/>
        <v>ordinario_s9_mi</v>
      </c>
      <c r="G445" s="15" t="str">
        <f t="shared" si="113"/>
        <v>"10/03/2027": "ordinario_s9_mi",</v>
      </c>
      <c r="H445" t="str">
        <f t="shared" si="105"/>
        <v/>
      </c>
    </row>
    <row r="446" spans="1:8">
      <c r="A446">
        <f t="shared" si="109"/>
        <v>2027</v>
      </c>
      <c r="B446" t="str">
        <f t="shared" si="110"/>
        <v>ju</v>
      </c>
      <c r="C446">
        <f t="shared" si="117"/>
        <v>9</v>
      </c>
      <c r="D446" t="s">
        <v>1496</v>
      </c>
      <c r="E446" s="14">
        <f t="shared" si="104"/>
        <v>46457</v>
      </c>
      <c r="F446" t="str">
        <f t="shared" si="112"/>
        <v>ordinario_s9_ju</v>
      </c>
      <c r="G446" s="15" t="str">
        <f t="shared" si="113"/>
        <v>"11/03/2027": "ordinario_s9_ju",</v>
      </c>
      <c r="H446" t="str">
        <f t="shared" si="105"/>
        <v/>
      </c>
    </row>
    <row r="447" spans="1:8">
      <c r="A447">
        <f t="shared" si="109"/>
        <v>2027</v>
      </c>
      <c r="B447" t="str">
        <f t="shared" si="110"/>
        <v>vi</v>
      </c>
      <c r="C447">
        <f t="shared" si="117"/>
        <v>9</v>
      </c>
      <c r="D447" t="s">
        <v>1496</v>
      </c>
      <c r="E447" s="14">
        <f t="shared" si="104"/>
        <v>46458</v>
      </c>
      <c r="F447" t="str">
        <f t="shared" si="112"/>
        <v>ordinario_s9_vi</v>
      </c>
      <c r="G447" s="15" t="str">
        <f t="shared" si="113"/>
        <v>"12/03/2027": "ordinario_s9_vi",</v>
      </c>
      <c r="H447" t="str">
        <f t="shared" si="105"/>
        <v/>
      </c>
    </row>
    <row r="448" spans="1:8">
      <c r="A448">
        <f t="shared" si="109"/>
        <v>2027</v>
      </c>
      <c r="B448" t="str">
        <f t="shared" si="110"/>
        <v>sa</v>
      </c>
      <c r="C448">
        <f t="shared" si="117"/>
        <v>9</v>
      </c>
      <c r="D448" t="s">
        <v>1496</v>
      </c>
      <c r="E448" s="14">
        <f t="shared" si="104"/>
        <v>46459</v>
      </c>
      <c r="F448" t="str">
        <f t="shared" si="112"/>
        <v>ordinario_s9_sa</v>
      </c>
      <c r="G448" s="15" t="str">
        <f t="shared" si="113"/>
        <v>"13/03/2027": "ordinario_s9_sa",</v>
      </c>
      <c r="H448" t="str">
        <f t="shared" si="105"/>
        <v/>
      </c>
    </row>
    <row r="449" spans="1:8">
      <c r="A449">
        <f t="shared" si="109"/>
        <v>2027</v>
      </c>
      <c r="B449" t="str">
        <f t="shared" si="110"/>
        <v>do</v>
      </c>
      <c r="C449">
        <f>+C448+1</f>
        <v>10</v>
      </c>
      <c r="D449" t="s">
        <v>1496</v>
      </c>
      <c r="E449" s="14">
        <f t="shared" si="104"/>
        <v>46460</v>
      </c>
      <c r="F449" t="str">
        <f t="shared" si="112"/>
        <v>ordinario_s10_do</v>
      </c>
      <c r="G449" s="15" t="str">
        <f t="shared" si="113"/>
        <v>"14/03/2027": "ordinario_s10_do",</v>
      </c>
      <c r="H449" t="str">
        <f t="shared" si="105"/>
        <v>// TIEMPO ORDINARIO SEMANA 10</v>
      </c>
    </row>
    <row r="450" spans="1:8">
      <c r="A450">
        <f t="shared" si="109"/>
        <v>2027</v>
      </c>
      <c r="B450" t="str">
        <f t="shared" si="110"/>
        <v>lu</v>
      </c>
      <c r="C450">
        <f>C449</f>
        <v>10</v>
      </c>
      <c r="D450" t="s">
        <v>1496</v>
      </c>
      <c r="E450" s="14">
        <f t="shared" si="104"/>
        <v>46461</v>
      </c>
      <c r="F450" t="str">
        <f t="shared" si="112"/>
        <v>ordinario_s10_lu</v>
      </c>
      <c r="G450" s="15" t="str">
        <f t="shared" si="113"/>
        <v>"15/03/2027": "ordinario_s10_lu",</v>
      </c>
      <c r="H450" t="str">
        <f t="shared" si="105"/>
        <v/>
      </c>
    </row>
    <row r="451" spans="1:8">
      <c r="A451">
        <f t="shared" si="109"/>
        <v>2027</v>
      </c>
      <c r="B451" t="str">
        <f t="shared" si="110"/>
        <v>ma</v>
      </c>
      <c r="C451">
        <f>C450</f>
        <v>10</v>
      </c>
      <c r="D451" t="s">
        <v>1496</v>
      </c>
      <c r="E451" s="14">
        <f t="shared" si="104"/>
        <v>46462</v>
      </c>
      <c r="F451" t="str">
        <f t="shared" si="112"/>
        <v>ordinario_s10_ma</v>
      </c>
      <c r="G451" s="15" t="str">
        <f t="shared" si="113"/>
        <v>"16/03/2027": "ordinario_s10_ma",</v>
      </c>
      <c r="H451" t="str">
        <f t="shared" si="105"/>
        <v/>
      </c>
    </row>
    <row r="452" spans="1:8">
      <c r="A452">
        <f t="shared" si="109"/>
        <v>2027</v>
      </c>
      <c r="B452" t="str">
        <f t="shared" si="110"/>
        <v>mi</v>
      </c>
      <c r="C452">
        <f t="shared" ref="C452:C455" si="118">C451</f>
        <v>10</v>
      </c>
      <c r="D452" t="s">
        <v>1496</v>
      </c>
      <c r="E452" s="14">
        <f t="shared" si="104"/>
        <v>46463</v>
      </c>
      <c r="F452" t="str">
        <f t="shared" si="112"/>
        <v>ordinario_s10_mi</v>
      </c>
      <c r="G452" s="15" t="str">
        <f t="shared" si="113"/>
        <v>"17/03/2027": "ordinario_s10_mi",</v>
      </c>
      <c r="H452" t="str">
        <f t="shared" si="105"/>
        <v/>
      </c>
    </row>
    <row r="453" spans="1:8">
      <c r="A453">
        <f t="shared" si="109"/>
        <v>2027</v>
      </c>
      <c r="B453" t="str">
        <f t="shared" si="110"/>
        <v>ju</v>
      </c>
      <c r="C453">
        <f t="shared" si="118"/>
        <v>10</v>
      </c>
      <c r="D453" t="s">
        <v>1496</v>
      </c>
      <c r="E453" s="14">
        <f t="shared" ref="E453:E491" si="119">+E452+1</f>
        <v>46464</v>
      </c>
      <c r="F453" t="str">
        <f t="shared" si="112"/>
        <v>ordinario_s10_ju</v>
      </c>
      <c r="G453" s="15" t="str">
        <f t="shared" si="113"/>
        <v>"18/03/2027": "ordinario_s10_ju",</v>
      </c>
      <c r="H453" t="str">
        <f t="shared" si="105"/>
        <v/>
      </c>
    </row>
    <row r="454" spans="1:8">
      <c r="A454">
        <f t="shared" si="109"/>
        <v>2027</v>
      </c>
      <c r="B454" t="str">
        <f t="shared" si="110"/>
        <v>vi</v>
      </c>
      <c r="C454">
        <f t="shared" si="118"/>
        <v>10</v>
      </c>
      <c r="D454" t="s">
        <v>1496</v>
      </c>
      <c r="E454" s="14">
        <f t="shared" si="119"/>
        <v>46465</v>
      </c>
      <c r="F454" t="str">
        <f t="shared" si="112"/>
        <v>ordinario_s10_vi</v>
      </c>
      <c r="G454" s="15" t="str">
        <f t="shared" si="113"/>
        <v>"19/03/2027": "ordinario_s10_vi",</v>
      </c>
      <c r="H454" t="str">
        <f t="shared" si="105"/>
        <v/>
      </c>
    </row>
    <row r="455" spans="1:8">
      <c r="A455">
        <f t="shared" si="109"/>
        <v>2027</v>
      </c>
      <c r="B455" t="str">
        <f t="shared" si="110"/>
        <v>sa</v>
      </c>
      <c r="C455">
        <f t="shared" si="118"/>
        <v>10</v>
      </c>
      <c r="D455" t="s">
        <v>1496</v>
      </c>
      <c r="E455" s="14">
        <f t="shared" si="119"/>
        <v>46466</v>
      </c>
      <c r="F455" t="str">
        <f t="shared" si="112"/>
        <v>ordinario_s10_sa</v>
      </c>
      <c r="G455" s="15" t="str">
        <f t="shared" si="113"/>
        <v>"20/03/2027": "ordinario_s10_sa",</v>
      </c>
      <c r="H455" t="str">
        <f t="shared" si="105"/>
        <v/>
      </c>
    </row>
    <row r="456" spans="1:8">
      <c r="A456">
        <f t="shared" si="109"/>
        <v>2027</v>
      </c>
      <c r="B456" t="str">
        <f t="shared" si="110"/>
        <v>do</v>
      </c>
      <c r="C456">
        <f>+C455+1</f>
        <v>11</v>
      </c>
      <c r="D456" t="s">
        <v>1496</v>
      </c>
      <c r="E456" s="14">
        <f t="shared" si="119"/>
        <v>46467</v>
      </c>
      <c r="F456" t="str">
        <f t="shared" si="112"/>
        <v>ordinario_s11_do</v>
      </c>
      <c r="G456" s="15" t="str">
        <f t="shared" si="113"/>
        <v>"21/03/2027": "ordinario_s11_do",</v>
      </c>
      <c r="H456" t="str">
        <f t="shared" si="105"/>
        <v>// TIEMPO ORDINARIO SEMANA 11</v>
      </c>
    </row>
    <row r="457" spans="1:8">
      <c r="A457">
        <f t="shared" si="109"/>
        <v>2027</v>
      </c>
      <c r="B457" t="str">
        <f t="shared" si="110"/>
        <v>lu</v>
      </c>
      <c r="C457">
        <f>C456</f>
        <v>11</v>
      </c>
      <c r="D457" t="s">
        <v>1496</v>
      </c>
      <c r="E457" s="14">
        <f t="shared" si="119"/>
        <v>46468</v>
      </c>
      <c r="F457" t="str">
        <f t="shared" si="112"/>
        <v>ordinario_s11_lu</v>
      </c>
      <c r="G457" s="15" t="str">
        <f t="shared" si="113"/>
        <v>"22/03/2027": "ordinario_s11_lu",</v>
      </c>
      <c r="H457" t="str">
        <f t="shared" si="105"/>
        <v/>
      </c>
    </row>
    <row r="458" spans="1:8">
      <c r="A458">
        <f t="shared" si="109"/>
        <v>2027</v>
      </c>
      <c r="B458" t="str">
        <f t="shared" si="110"/>
        <v>ma</v>
      </c>
      <c r="C458">
        <f>C457</f>
        <v>11</v>
      </c>
      <c r="D458" t="s">
        <v>1496</v>
      </c>
      <c r="E458" s="14">
        <f t="shared" si="119"/>
        <v>46469</v>
      </c>
      <c r="F458" t="str">
        <f t="shared" si="112"/>
        <v>ordinario_s11_ma</v>
      </c>
      <c r="G458" s="15" t="str">
        <f t="shared" si="113"/>
        <v>"23/03/2027": "ordinario_s11_ma",</v>
      </c>
      <c r="H458" t="str">
        <f t="shared" ref="H458:H491" si="120">IF(B458="do", "// TIEMPO " &amp; UPPER(D458) &amp; " SEMANA " &amp; C458, "")</f>
        <v/>
      </c>
    </row>
    <row r="459" spans="1:8">
      <c r="A459">
        <f t="shared" si="109"/>
        <v>2027</v>
      </c>
      <c r="B459" t="str">
        <f t="shared" si="110"/>
        <v>mi</v>
      </c>
      <c r="C459">
        <f t="shared" ref="C459:C462" si="121">C458</f>
        <v>11</v>
      </c>
      <c r="D459" t="s">
        <v>1496</v>
      </c>
      <c r="E459" s="14">
        <f t="shared" si="119"/>
        <v>46470</v>
      </c>
      <c r="F459" t="str">
        <f t="shared" si="112"/>
        <v>ordinario_s11_mi</v>
      </c>
      <c r="G459" s="15" t="str">
        <f t="shared" si="113"/>
        <v>"24/03/2027": "ordinario_s11_mi",</v>
      </c>
      <c r="H459" t="str">
        <f t="shared" si="120"/>
        <v/>
      </c>
    </row>
    <row r="460" spans="1:8">
      <c r="A460">
        <f t="shared" si="109"/>
        <v>2027</v>
      </c>
      <c r="B460" t="str">
        <f t="shared" si="110"/>
        <v>ju</v>
      </c>
      <c r="C460">
        <f t="shared" si="121"/>
        <v>11</v>
      </c>
      <c r="D460" t="s">
        <v>1496</v>
      </c>
      <c r="E460" s="14">
        <f t="shared" si="119"/>
        <v>46471</v>
      </c>
      <c r="F460" t="str">
        <f t="shared" si="112"/>
        <v>ordinario_s11_ju</v>
      </c>
      <c r="G460" s="15" t="str">
        <f t="shared" si="113"/>
        <v>"25/03/2027": "ordinario_s11_ju",</v>
      </c>
      <c r="H460" t="str">
        <f t="shared" si="120"/>
        <v/>
      </c>
    </row>
    <row r="461" spans="1:8">
      <c r="A461">
        <f t="shared" si="109"/>
        <v>2027</v>
      </c>
      <c r="B461" t="str">
        <f t="shared" si="110"/>
        <v>vi</v>
      </c>
      <c r="C461">
        <f t="shared" si="121"/>
        <v>11</v>
      </c>
      <c r="D461" t="s">
        <v>1496</v>
      </c>
      <c r="E461" s="14">
        <f t="shared" si="119"/>
        <v>46472</v>
      </c>
      <c r="F461" t="str">
        <f t="shared" si="112"/>
        <v>ordinario_s11_vi</v>
      </c>
      <c r="G461" s="15" t="str">
        <f t="shared" si="113"/>
        <v>"26/03/2027": "ordinario_s11_vi",</v>
      </c>
      <c r="H461" t="str">
        <f t="shared" si="120"/>
        <v/>
      </c>
    </row>
    <row r="462" spans="1:8">
      <c r="A462">
        <f t="shared" si="109"/>
        <v>2027</v>
      </c>
      <c r="B462" t="str">
        <f t="shared" si="110"/>
        <v>sa</v>
      </c>
      <c r="C462">
        <f t="shared" si="121"/>
        <v>11</v>
      </c>
      <c r="D462" t="s">
        <v>1496</v>
      </c>
      <c r="E462" s="14">
        <f t="shared" si="119"/>
        <v>46473</v>
      </c>
      <c r="F462" t="str">
        <f t="shared" si="112"/>
        <v>ordinario_s11_sa</v>
      </c>
      <c r="G462" s="15" t="str">
        <f t="shared" si="113"/>
        <v>"27/03/2027": "ordinario_s11_sa",</v>
      </c>
      <c r="H462" t="str">
        <f t="shared" si="120"/>
        <v/>
      </c>
    </row>
    <row r="463" spans="1:8">
      <c r="A463">
        <f t="shared" si="109"/>
        <v>2027</v>
      </c>
      <c r="B463" t="str">
        <f>CHOOSE(WEEKDAY(E463), "do", "lu", "ma", "mi", "ju", "vi", "sa")</f>
        <v>do</v>
      </c>
      <c r="D463" t="s">
        <v>1496</v>
      </c>
      <c r="E463" s="14">
        <f t="shared" si="119"/>
        <v>46474</v>
      </c>
      <c r="F463" t="str">
        <f t="shared" si="112"/>
        <v>ordinario_s_do</v>
      </c>
      <c r="G463" s="15" t="str">
        <f t="shared" si="113"/>
        <v>"28/03/2027": "ordinario_s_do",</v>
      </c>
      <c r="H463" t="str">
        <f t="shared" si="120"/>
        <v xml:space="preserve">// TIEMPO ORDINARIO SEMANA </v>
      </c>
    </row>
    <row r="464" spans="1:8">
      <c r="A464">
        <f t="shared" si="109"/>
        <v>2027</v>
      </c>
      <c r="B464" t="str">
        <f t="shared" ref="B464:B491" si="122">CHOOSE(WEEKDAY(E464), "do", "lu", "ma", "mi", "ju", "vi", "sa")</f>
        <v>lu</v>
      </c>
      <c r="D464" t="s">
        <v>1496</v>
      </c>
      <c r="E464" s="14">
        <f t="shared" si="119"/>
        <v>46475</v>
      </c>
      <c r="F464" t="str">
        <f t="shared" si="112"/>
        <v>ordinario_s_lu</v>
      </c>
      <c r="G464" s="15" t="str">
        <f t="shared" si="113"/>
        <v>"29/03/2027": "ordinario_s_lu",</v>
      </c>
      <c r="H464" t="str">
        <f t="shared" si="120"/>
        <v/>
      </c>
    </row>
    <row r="465" spans="1:8">
      <c r="A465">
        <f t="shared" si="109"/>
        <v>2027</v>
      </c>
      <c r="B465" t="str">
        <f t="shared" si="122"/>
        <v>ma</v>
      </c>
      <c r="D465" t="s">
        <v>1496</v>
      </c>
      <c r="E465" s="14">
        <f t="shared" si="119"/>
        <v>46476</v>
      </c>
      <c r="F465" t="str">
        <f t="shared" si="112"/>
        <v>ordinario_s_ma</v>
      </c>
      <c r="G465" s="15" t="str">
        <f t="shared" si="113"/>
        <v>"30/03/2027": "ordinario_s_ma",</v>
      </c>
      <c r="H465" t="str">
        <f t="shared" si="120"/>
        <v/>
      </c>
    </row>
    <row r="466" spans="1:8">
      <c r="A466">
        <f t="shared" si="109"/>
        <v>2027</v>
      </c>
      <c r="B466" t="str">
        <f t="shared" si="122"/>
        <v>mi</v>
      </c>
      <c r="D466" t="s">
        <v>1496</v>
      </c>
      <c r="E466" s="14">
        <f t="shared" si="119"/>
        <v>46477</v>
      </c>
      <c r="F466" t="str">
        <f t="shared" si="112"/>
        <v>ordinario_s_mi</v>
      </c>
      <c r="G466" s="15" t="str">
        <f t="shared" si="113"/>
        <v>"31/03/2027": "ordinario_s_mi",</v>
      </c>
      <c r="H466" t="str">
        <f t="shared" si="120"/>
        <v/>
      </c>
    </row>
    <row r="467" spans="1:8">
      <c r="A467">
        <f t="shared" si="109"/>
        <v>2027</v>
      </c>
      <c r="B467" t="str">
        <f t="shared" si="122"/>
        <v>ju</v>
      </c>
      <c r="D467" t="s">
        <v>1496</v>
      </c>
      <c r="E467" s="14">
        <f t="shared" si="119"/>
        <v>46478</v>
      </c>
      <c r="F467" t="str">
        <f t="shared" si="112"/>
        <v>ordinario_s_ju</v>
      </c>
      <c r="G467" s="15" t="str">
        <f t="shared" si="113"/>
        <v>"01/04/2027": "ordinario_s_ju",</v>
      </c>
      <c r="H467" t="str">
        <f t="shared" si="120"/>
        <v/>
      </c>
    </row>
    <row r="468" spans="1:8">
      <c r="A468">
        <f t="shared" si="109"/>
        <v>2027</v>
      </c>
      <c r="B468" t="str">
        <f t="shared" si="122"/>
        <v>vi</v>
      </c>
      <c r="D468" t="s">
        <v>1496</v>
      </c>
      <c r="E468" s="14">
        <f t="shared" si="119"/>
        <v>46479</v>
      </c>
      <c r="F468" t="str">
        <f t="shared" si="112"/>
        <v>ordinario_s_vi</v>
      </c>
      <c r="G468" s="15" t="str">
        <f t="shared" si="113"/>
        <v>"02/04/2027": "ordinario_s_vi",</v>
      </c>
      <c r="H468" t="str">
        <f t="shared" si="120"/>
        <v/>
      </c>
    </row>
    <row r="469" spans="1:8">
      <c r="A469">
        <f t="shared" si="109"/>
        <v>2027</v>
      </c>
      <c r="B469" t="str">
        <f t="shared" si="122"/>
        <v>sa</v>
      </c>
      <c r="D469" t="s">
        <v>1496</v>
      </c>
      <c r="E469" s="14">
        <f t="shared" si="119"/>
        <v>46480</v>
      </c>
      <c r="F469" t="str">
        <f t="shared" si="112"/>
        <v>ordinario_s_sa</v>
      </c>
      <c r="G469" s="15" t="str">
        <f t="shared" si="113"/>
        <v>"03/04/2027": "ordinario_s_sa",</v>
      </c>
      <c r="H469" t="str">
        <f t="shared" si="120"/>
        <v/>
      </c>
    </row>
    <row r="470" spans="1:8">
      <c r="A470">
        <f t="shared" si="109"/>
        <v>2027</v>
      </c>
      <c r="B470" t="str">
        <f t="shared" si="122"/>
        <v>do</v>
      </c>
      <c r="D470" t="s">
        <v>1496</v>
      </c>
      <c r="E470" s="14">
        <f t="shared" si="119"/>
        <v>46481</v>
      </c>
      <c r="F470" t="str">
        <f t="shared" si="112"/>
        <v>ordinario_s_do</v>
      </c>
      <c r="G470" s="15" t="str">
        <f t="shared" si="113"/>
        <v>"04/04/2027": "ordinario_s_do",</v>
      </c>
      <c r="H470" t="str">
        <f t="shared" si="120"/>
        <v xml:space="preserve">// TIEMPO ORDINARIO SEMANA </v>
      </c>
    </row>
    <row r="471" spans="1:8">
      <c r="A471">
        <f t="shared" si="109"/>
        <v>2027</v>
      </c>
      <c r="B471" t="str">
        <f t="shared" si="122"/>
        <v>lu</v>
      </c>
      <c r="D471" t="s">
        <v>1496</v>
      </c>
      <c r="E471" s="14">
        <f t="shared" si="119"/>
        <v>46482</v>
      </c>
      <c r="F471" t="str">
        <f t="shared" si="112"/>
        <v>ordinario_s_lu</v>
      </c>
      <c r="G471" s="15" t="str">
        <f t="shared" si="113"/>
        <v>"05/04/2027": "ordinario_s_lu",</v>
      </c>
      <c r="H471" t="str">
        <f t="shared" si="120"/>
        <v/>
      </c>
    </row>
    <row r="472" spans="1:8">
      <c r="A472">
        <f t="shared" si="109"/>
        <v>2027</v>
      </c>
      <c r="B472" t="str">
        <f t="shared" si="122"/>
        <v>ma</v>
      </c>
      <c r="D472" t="s">
        <v>1496</v>
      </c>
      <c r="E472" s="14">
        <f t="shared" si="119"/>
        <v>46483</v>
      </c>
      <c r="F472" t="str">
        <f t="shared" si="112"/>
        <v>ordinario_s_ma</v>
      </c>
      <c r="G472" s="15" t="str">
        <f t="shared" si="113"/>
        <v>"06/04/2027": "ordinario_s_ma",</v>
      </c>
      <c r="H472" t="str">
        <f t="shared" si="120"/>
        <v/>
      </c>
    </row>
    <row r="473" spans="1:8">
      <c r="A473">
        <f t="shared" si="109"/>
        <v>2027</v>
      </c>
      <c r="B473" t="str">
        <f t="shared" si="122"/>
        <v>mi</v>
      </c>
      <c r="D473" t="s">
        <v>1496</v>
      </c>
      <c r="E473" s="14">
        <f t="shared" si="119"/>
        <v>46484</v>
      </c>
      <c r="F473" t="str">
        <f t="shared" si="112"/>
        <v>ordinario_s_mi</v>
      </c>
      <c r="G473" s="15" t="str">
        <f t="shared" si="113"/>
        <v>"07/04/2027": "ordinario_s_mi",</v>
      </c>
      <c r="H473" t="str">
        <f t="shared" si="120"/>
        <v/>
      </c>
    </row>
    <row r="474" spans="1:8">
      <c r="A474">
        <f t="shared" si="109"/>
        <v>2027</v>
      </c>
      <c r="B474" t="str">
        <f t="shared" si="122"/>
        <v>ju</v>
      </c>
      <c r="D474" t="s">
        <v>1496</v>
      </c>
      <c r="E474" s="14">
        <f t="shared" si="119"/>
        <v>46485</v>
      </c>
      <c r="F474" t="str">
        <f t="shared" si="112"/>
        <v>ordinario_s_ju</v>
      </c>
      <c r="G474" s="15" t="str">
        <f t="shared" si="113"/>
        <v>"08/04/2027": "ordinario_s_ju",</v>
      </c>
      <c r="H474" t="str">
        <f t="shared" si="120"/>
        <v/>
      </c>
    </row>
    <row r="475" spans="1:8">
      <c r="A475">
        <f t="shared" si="109"/>
        <v>2027</v>
      </c>
      <c r="B475" t="str">
        <f t="shared" si="122"/>
        <v>vi</v>
      </c>
      <c r="D475" t="s">
        <v>1496</v>
      </c>
      <c r="E475" s="14">
        <f t="shared" si="119"/>
        <v>46486</v>
      </c>
      <c r="F475" t="str">
        <f t="shared" si="112"/>
        <v>ordinario_s_vi</v>
      </c>
      <c r="G475" s="15" t="str">
        <f t="shared" si="113"/>
        <v>"09/04/2027": "ordinario_s_vi",</v>
      </c>
      <c r="H475" t="str">
        <f t="shared" si="120"/>
        <v/>
      </c>
    </row>
    <row r="476" spans="1:8">
      <c r="A476">
        <f t="shared" si="109"/>
        <v>2027</v>
      </c>
      <c r="B476" t="str">
        <f t="shared" si="122"/>
        <v>sa</v>
      </c>
      <c r="D476" t="s">
        <v>1496</v>
      </c>
      <c r="E476" s="14">
        <f t="shared" si="119"/>
        <v>46487</v>
      </c>
      <c r="F476" t="str">
        <f t="shared" si="112"/>
        <v>ordinario_s_sa</v>
      </c>
      <c r="G476" s="15" t="str">
        <f t="shared" si="113"/>
        <v>"10/04/2027": "ordinario_s_sa",</v>
      </c>
      <c r="H476" t="str">
        <f t="shared" si="120"/>
        <v/>
      </c>
    </row>
    <row r="477" spans="1:8">
      <c r="A477">
        <f t="shared" si="109"/>
        <v>2027</v>
      </c>
      <c r="B477" t="str">
        <f t="shared" si="122"/>
        <v>do</v>
      </c>
      <c r="D477" t="s">
        <v>1496</v>
      </c>
      <c r="E477" s="14">
        <f t="shared" si="119"/>
        <v>46488</v>
      </c>
      <c r="F477" t="str">
        <f t="shared" si="112"/>
        <v>ordinario_s_do</v>
      </c>
      <c r="G477" s="15" t="str">
        <f t="shared" si="113"/>
        <v>"11/04/2027": "ordinario_s_do",</v>
      </c>
      <c r="H477" t="str">
        <f t="shared" si="120"/>
        <v xml:space="preserve">// TIEMPO ORDINARIO SEMANA </v>
      </c>
    </row>
    <row r="478" spans="1:8">
      <c r="A478">
        <f t="shared" si="109"/>
        <v>2027</v>
      </c>
      <c r="B478" t="str">
        <f t="shared" si="122"/>
        <v>lu</v>
      </c>
      <c r="D478" t="s">
        <v>1496</v>
      </c>
      <c r="E478" s="14">
        <f t="shared" si="119"/>
        <v>46489</v>
      </c>
      <c r="F478" t="str">
        <f t="shared" si="112"/>
        <v>ordinario_s_lu</v>
      </c>
      <c r="G478" s="15" t="str">
        <f t="shared" si="113"/>
        <v>"12/04/2027": "ordinario_s_lu",</v>
      </c>
      <c r="H478" t="str">
        <f t="shared" si="120"/>
        <v/>
      </c>
    </row>
    <row r="479" spans="1:8">
      <c r="A479">
        <f t="shared" si="109"/>
        <v>2027</v>
      </c>
      <c r="B479" t="str">
        <f t="shared" si="122"/>
        <v>ma</v>
      </c>
      <c r="D479" t="s">
        <v>1496</v>
      </c>
      <c r="E479" s="14">
        <f t="shared" si="119"/>
        <v>46490</v>
      </c>
      <c r="F479" t="str">
        <f t="shared" si="112"/>
        <v>ordinario_s_ma</v>
      </c>
      <c r="G479" s="15" t="str">
        <f t="shared" si="113"/>
        <v>"13/04/2027": "ordinario_s_ma",</v>
      </c>
      <c r="H479" t="str">
        <f t="shared" si="120"/>
        <v/>
      </c>
    </row>
    <row r="480" spans="1:8">
      <c r="A480">
        <f t="shared" si="109"/>
        <v>2027</v>
      </c>
      <c r="B480" t="str">
        <f t="shared" si="122"/>
        <v>mi</v>
      </c>
      <c r="D480" t="s">
        <v>1496</v>
      </c>
      <c r="E480" s="14">
        <f t="shared" si="119"/>
        <v>46491</v>
      </c>
      <c r="F480" t="str">
        <f t="shared" si="112"/>
        <v>ordinario_s_mi</v>
      </c>
      <c r="G480" s="15" t="str">
        <f t="shared" si="113"/>
        <v>"14/04/2027": "ordinario_s_mi",</v>
      </c>
      <c r="H480" t="str">
        <f t="shared" si="120"/>
        <v/>
      </c>
    </row>
    <row r="481" spans="1:8">
      <c r="A481">
        <f t="shared" ref="A481:A544" si="123">YEAR(E481)</f>
        <v>2027</v>
      </c>
      <c r="B481" t="str">
        <f t="shared" si="122"/>
        <v>ju</v>
      </c>
      <c r="D481" t="s">
        <v>1496</v>
      </c>
      <c r="E481" s="14">
        <f t="shared" si="119"/>
        <v>46492</v>
      </c>
      <c r="F481" t="str">
        <f t="shared" si="112"/>
        <v>ordinario_s_ju</v>
      </c>
      <c r="G481" s="15" t="str">
        <f t="shared" si="113"/>
        <v>"15/04/2027": "ordinario_s_ju",</v>
      </c>
      <c r="H481" t="str">
        <f t="shared" si="120"/>
        <v/>
      </c>
    </row>
    <row r="482" spans="1:8">
      <c r="A482">
        <f t="shared" si="123"/>
        <v>2027</v>
      </c>
      <c r="B482" t="str">
        <f t="shared" si="122"/>
        <v>vi</v>
      </c>
      <c r="D482" t="s">
        <v>1496</v>
      </c>
      <c r="E482" s="14">
        <f t="shared" si="119"/>
        <v>46493</v>
      </c>
      <c r="F482" t="str">
        <f t="shared" si="112"/>
        <v>ordinario_s_vi</v>
      </c>
      <c r="G482" s="15" t="str">
        <f t="shared" si="113"/>
        <v>"16/04/2027": "ordinario_s_vi",</v>
      </c>
      <c r="H482" t="str">
        <f t="shared" si="120"/>
        <v/>
      </c>
    </row>
    <row r="483" spans="1:8">
      <c r="A483">
        <f t="shared" si="123"/>
        <v>2027</v>
      </c>
      <c r="B483" t="str">
        <f t="shared" si="122"/>
        <v>sa</v>
      </c>
      <c r="D483" t="s">
        <v>1496</v>
      </c>
      <c r="E483" s="14">
        <f t="shared" si="119"/>
        <v>46494</v>
      </c>
      <c r="F483" t="str">
        <f t="shared" ref="F483:F491" si="124">_xlfn.CONCAT(D483,"_s",C483,"_",B483)</f>
        <v>ordinario_s_sa</v>
      </c>
      <c r="G483" s="15" t="str">
        <f t="shared" ref="G483:G491" si="125">"""" &amp; TEXT(E483, "dd/mm/yyyy") &amp; """: """ &amp; F483 &amp; ""","</f>
        <v>"17/04/2027": "ordinario_s_sa",</v>
      </c>
      <c r="H483" t="str">
        <f t="shared" si="120"/>
        <v/>
      </c>
    </row>
    <row r="484" spans="1:8">
      <c r="A484">
        <f t="shared" si="123"/>
        <v>2027</v>
      </c>
      <c r="B484" t="str">
        <f t="shared" si="122"/>
        <v>do</v>
      </c>
      <c r="D484" t="s">
        <v>1496</v>
      </c>
      <c r="E484" s="14">
        <f t="shared" si="119"/>
        <v>46495</v>
      </c>
      <c r="F484" t="str">
        <f t="shared" si="124"/>
        <v>ordinario_s_do</v>
      </c>
      <c r="G484" s="15" t="str">
        <f t="shared" si="125"/>
        <v>"18/04/2027": "ordinario_s_do",</v>
      </c>
      <c r="H484" t="str">
        <f t="shared" si="120"/>
        <v xml:space="preserve">// TIEMPO ORDINARIO SEMANA </v>
      </c>
    </row>
    <row r="485" spans="1:8">
      <c r="A485">
        <f t="shared" si="123"/>
        <v>2027</v>
      </c>
      <c r="B485" t="str">
        <f t="shared" si="122"/>
        <v>lu</v>
      </c>
      <c r="D485" t="s">
        <v>1496</v>
      </c>
      <c r="E485" s="14">
        <f t="shared" si="119"/>
        <v>46496</v>
      </c>
      <c r="F485" t="str">
        <f t="shared" si="124"/>
        <v>ordinario_s_lu</v>
      </c>
      <c r="G485" s="15" t="str">
        <f t="shared" si="125"/>
        <v>"19/04/2027": "ordinario_s_lu",</v>
      </c>
      <c r="H485" t="str">
        <f t="shared" si="120"/>
        <v/>
      </c>
    </row>
    <row r="486" spans="1:8">
      <c r="A486">
        <f t="shared" si="123"/>
        <v>2027</v>
      </c>
      <c r="B486" t="str">
        <f t="shared" si="122"/>
        <v>ma</v>
      </c>
      <c r="D486" t="s">
        <v>1496</v>
      </c>
      <c r="E486" s="14">
        <f t="shared" si="119"/>
        <v>46497</v>
      </c>
      <c r="F486" t="str">
        <f t="shared" si="124"/>
        <v>ordinario_s_ma</v>
      </c>
      <c r="G486" s="15" t="str">
        <f t="shared" si="125"/>
        <v>"20/04/2027": "ordinario_s_ma",</v>
      </c>
      <c r="H486" t="str">
        <f t="shared" si="120"/>
        <v/>
      </c>
    </row>
    <row r="487" spans="1:8">
      <c r="A487">
        <f t="shared" si="123"/>
        <v>2027</v>
      </c>
      <c r="B487" t="str">
        <f t="shared" si="122"/>
        <v>mi</v>
      </c>
      <c r="D487" t="s">
        <v>1496</v>
      </c>
      <c r="E487" s="14">
        <f t="shared" si="119"/>
        <v>46498</v>
      </c>
      <c r="F487" t="str">
        <f t="shared" si="124"/>
        <v>ordinario_s_mi</v>
      </c>
      <c r="G487" s="15" t="str">
        <f t="shared" si="125"/>
        <v>"21/04/2027": "ordinario_s_mi",</v>
      </c>
      <c r="H487" t="str">
        <f t="shared" si="120"/>
        <v/>
      </c>
    </row>
    <row r="488" spans="1:8">
      <c r="A488">
        <f t="shared" si="123"/>
        <v>2027</v>
      </c>
      <c r="B488" t="str">
        <f t="shared" si="122"/>
        <v>ju</v>
      </c>
      <c r="D488" t="s">
        <v>1496</v>
      </c>
      <c r="E488" s="14">
        <f t="shared" si="119"/>
        <v>46499</v>
      </c>
      <c r="F488" t="str">
        <f t="shared" si="124"/>
        <v>ordinario_s_ju</v>
      </c>
      <c r="G488" s="15" t="str">
        <f t="shared" si="125"/>
        <v>"22/04/2027": "ordinario_s_ju",</v>
      </c>
      <c r="H488" t="str">
        <f t="shared" si="120"/>
        <v/>
      </c>
    </row>
    <row r="489" spans="1:8">
      <c r="A489">
        <f t="shared" si="123"/>
        <v>2027</v>
      </c>
      <c r="B489" t="str">
        <f t="shared" si="122"/>
        <v>vi</v>
      </c>
      <c r="D489" t="s">
        <v>1496</v>
      </c>
      <c r="E489" s="14">
        <f t="shared" si="119"/>
        <v>46500</v>
      </c>
      <c r="F489" t="str">
        <f t="shared" si="124"/>
        <v>ordinario_s_vi</v>
      </c>
      <c r="G489" s="15" t="str">
        <f t="shared" si="125"/>
        <v>"23/04/2027": "ordinario_s_vi",</v>
      </c>
      <c r="H489" t="str">
        <f t="shared" si="120"/>
        <v/>
      </c>
    </row>
    <row r="490" spans="1:8">
      <c r="A490">
        <f t="shared" si="123"/>
        <v>2027</v>
      </c>
      <c r="B490" t="str">
        <f t="shared" si="122"/>
        <v>sa</v>
      </c>
      <c r="D490" t="s">
        <v>1496</v>
      </c>
      <c r="E490" s="14">
        <f t="shared" si="119"/>
        <v>46501</v>
      </c>
      <c r="F490" t="str">
        <f t="shared" si="124"/>
        <v>ordinario_s_sa</v>
      </c>
      <c r="G490" s="15" t="str">
        <f t="shared" si="125"/>
        <v>"24/04/2027": "ordinario_s_sa",</v>
      </c>
      <c r="H490" t="str">
        <f t="shared" si="120"/>
        <v/>
      </c>
    </row>
    <row r="491" spans="1:8">
      <c r="A491">
        <f t="shared" si="123"/>
        <v>2027</v>
      </c>
      <c r="B491" t="str">
        <f t="shared" si="122"/>
        <v>do</v>
      </c>
      <c r="D491" t="s">
        <v>1496</v>
      </c>
      <c r="E491" s="14">
        <f t="shared" si="119"/>
        <v>46502</v>
      </c>
      <c r="F491" t="str">
        <f t="shared" si="124"/>
        <v>ordinario_s_do</v>
      </c>
      <c r="G491" s="15" t="str">
        <f t="shared" si="125"/>
        <v>"25/04/2027": "ordinario_s_do",</v>
      </c>
      <c r="H491" t="str">
        <f t="shared" si="120"/>
        <v xml:space="preserve">// TIEMPO ORDINARIO SEMANA </v>
      </c>
    </row>
    <row r="492" spans="1:8">
      <c r="A492">
        <f t="shared" si="123"/>
        <v>2027</v>
      </c>
      <c r="B492" t="str">
        <f t="shared" ref="B492:B555" si="126">CHOOSE(WEEKDAY(E492), "do", "lu", "ma", "mi", "ju", "vi", "sa")</f>
        <v>lu</v>
      </c>
      <c r="D492" t="s">
        <v>1496</v>
      </c>
      <c r="E492" s="14">
        <f t="shared" ref="E492:E555" si="127">+E491+1</f>
        <v>46503</v>
      </c>
      <c r="F492" t="str">
        <f t="shared" ref="F492:F555" si="128">_xlfn.CONCAT(D492,"_s",C492,"_",B492)</f>
        <v>ordinario_s_lu</v>
      </c>
      <c r="G492" s="15" t="str">
        <f t="shared" ref="G492:G555" si="129">"""" &amp; TEXT(E492, "dd/mm/yyyy") &amp; """: """ &amp; F492 &amp; ""","</f>
        <v>"26/04/2027": "ordinario_s_lu",</v>
      </c>
      <c r="H492" t="str">
        <f t="shared" ref="H492:H555" si="130">IF(B492="do", "// TIEMPO " &amp; UPPER(D492) &amp; " SEMANA " &amp; C492, "")</f>
        <v/>
      </c>
    </row>
    <row r="493" spans="1:8">
      <c r="A493">
        <f t="shared" si="123"/>
        <v>2027</v>
      </c>
      <c r="B493" t="str">
        <f t="shared" si="126"/>
        <v>ma</v>
      </c>
      <c r="D493" t="s">
        <v>1496</v>
      </c>
      <c r="E493" s="14">
        <f t="shared" si="127"/>
        <v>46504</v>
      </c>
      <c r="F493" t="str">
        <f t="shared" si="128"/>
        <v>ordinario_s_ma</v>
      </c>
      <c r="G493" s="15" t="str">
        <f t="shared" si="129"/>
        <v>"27/04/2027": "ordinario_s_ma",</v>
      </c>
      <c r="H493" t="str">
        <f t="shared" si="130"/>
        <v/>
      </c>
    </row>
    <row r="494" spans="1:8">
      <c r="A494">
        <f t="shared" si="123"/>
        <v>2027</v>
      </c>
      <c r="B494" t="str">
        <f t="shared" si="126"/>
        <v>mi</v>
      </c>
      <c r="D494" t="s">
        <v>1496</v>
      </c>
      <c r="E494" s="14">
        <f t="shared" si="127"/>
        <v>46505</v>
      </c>
      <c r="F494" t="str">
        <f t="shared" si="128"/>
        <v>ordinario_s_mi</v>
      </c>
      <c r="G494" s="15" t="str">
        <f t="shared" si="129"/>
        <v>"28/04/2027": "ordinario_s_mi",</v>
      </c>
      <c r="H494" t="str">
        <f t="shared" si="130"/>
        <v/>
      </c>
    </row>
    <row r="495" spans="1:8">
      <c r="A495">
        <f t="shared" si="123"/>
        <v>2027</v>
      </c>
      <c r="B495" t="str">
        <f t="shared" si="126"/>
        <v>ju</v>
      </c>
      <c r="D495" t="s">
        <v>1496</v>
      </c>
      <c r="E495" s="14">
        <f t="shared" si="127"/>
        <v>46506</v>
      </c>
      <c r="F495" t="str">
        <f t="shared" si="128"/>
        <v>ordinario_s_ju</v>
      </c>
      <c r="G495" s="15" t="str">
        <f t="shared" si="129"/>
        <v>"29/04/2027": "ordinario_s_ju",</v>
      </c>
      <c r="H495" t="str">
        <f t="shared" si="130"/>
        <v/>
      </c>
    </row>
    <row r="496" spans="1:8">
      <c r="A496">
        <f t="shared" si="123"/>
        <v>2027</v>
      </c>
      <c r="B496" t="str">
        <f t="shared" si="126"/>
        <v>vi</v>
      </c>
      <c r="D496" t="s">
        <v>1496</v>
      </c>
      <c r="E496" s="14">
        <f t="shared" si="127"/>
        <v>46507</v>
      </c>
      <c r="F496" t="str">
        <f t="shared" si="128"/>
        <v>ordinario_s_vi</v>
      </c>
      <c r="G496" s="15" t="str">
        <f t="shared" si="129"/>
        <v>"30/04/2027": "ordinario_s_vi",</v>
      </c>
      <c r="H496" t="str">
        <f t="shared" si="130"/>
        <v/>
      </c>
    </row>
    <row r="497" spans="1:8">
      <c r="A497">
        <f t="shared" si="123"/>
        <v>2027</v>
      </c>
      <c r="B497" t="str">
        <f t="shared" si="126"/>
        <v>sa</v>
      </c>
      <c r="D497" t="s">
        <v>1496</v>
      </c>
      <c r="E497" s="14">
        <f t="shared" si="127"/>
        <v>46508</v>
      </c>
      <c r="F497" t="str">
        <f t="shared" si="128"/>
        <v>ordinario_s_sa</v>
      </c>
      <c r="G497" s="15" t="str">
        <f t="shared" si="129"/>
        <v>"01/05/2027": "ordinario_s_sa",</v>
      </c>
      <c r="H497" t="str">
        <f t="shared" si="130"/>
        <v/>
      </c>
    </row>
    <row r="498" spans="1:8">
      <c r="A498">
        <f t="shared" si="123"/>
        <v>2027</v>
      </c>
      <c r="B498" t="str">
        <f t="shared" si="126"/>
        <v>do</v>
      </c>
      <c r="D498" t="s">
        <v>1496</v>
      </c>
      <c r="E498" s="14">
        <f t="shared" si="127"/>
        <v>46509</v>
      </c>
      <c r="F498" t="str">
        <f t="shared" si="128"/>
        <v>ordinario_s_do</v>
      </c>
      <c r="G498" s="15" t="str">
        <f t="shared" si="129"/>
        <v>"02/05/2027": "ordinario_s_do",</v>
      </c>
      <c r="H498" t="str">
        <f t="shared" si="130"/>
        <v xml:space="preserve">// TIEMPO ORDINARIO SEMANA </v>
      </c>
    </row>
    <row r="499" spans="1:8">
      <c r="A499">
        <f t="shared" si="123"/>
        <v>2027</v>
      </c>
      <c r="B499" t="str">
        <f t="shared" si="126"/>
        <v>lu</v>
      </c>
      <c r="D499" t="s">
        <v>1496</v>
      </c>
      <c r="E499" s="14">
        <f t="shared" si="127"/>
        <v>46510</v>
      </c>
      <c r="F499" t="str">
        <f t="shared" si="128"/>
        <v>ordinario_s_lu</v>
      </c>
      <c r="G499" s="15" t="str">
        <f t="shared" si="129"/>
        <v>"03/05/2027": "ordinario_s_lu",</v>
      </c>
      <c r="H499" t="str">
        <f t="shared" si="130"/>
        <v/>
      </c>
    </row>
    <row r="500" spans="1:8">
      <c r="A500">
        <f t="shared" si="123"/>
        <v>2027</v>
      </c>
      <c r="B500" t="str">
        <f t="shared" si="126"/>
        <v>ma</v>
      </c>
      <c r="D500" t="s">
        <v>1496</v>
      </c>
      <c r="E500" s="14">
        <f t="shared" si="127"/>
        <v>46511</v>
      </c>
      <c r="F500" t="str">
        <f t="shared" si="128"/>
        <v>ordinario_s_ma</v>
      </c>
      <c r="G500" s="15" t="str">
        <f t="shared" si="129"/>
        <v>"04/05/2027": "ordinario_s_ma",</v>
      </c>
      <c r="H500" t="str">
        <f t="shared" si="130"/>
        <v/>
      </c>
    </row>
    <row r="501" spans="1:8">
      <c r="A501">
        <f t="shared" si="123"/>
        <v>2027</v>
      </c>
      <c r="B501" t="str">
        <f t="shared" si="126"/>
        <v>mi</v>
      </c>
      <c r="D501" t="s">
        <v>1496</v>
      </c>
      <c r="E501" s="14">
        <f t="shared" si="127"/>
        <v>46512</v>
      </c>
      <c r="F501" t="str">
        <f t="shared" si="128"/>
        <v>ordinario_s_mi</v>
      </c>
      <c r="G501" s="15" t="str">
        <f t="shared" si="129"/>
        <v>"05/05/2027": "ordinario_s_mi",</v>
      </c>
      <c r="H501" t="str">
        <f t="shared" si="130"/>
        <v/>
      </c>
    </row>
    <row r="502" spans="1:8">
      <c r="A502">
        <f t="shared" si="123"/>
        <v>2027</v>
      </c>
      <c r="B502" t="str">
        <f t="shared" si="126"/>
        <v>ju</v>
      </c>
      <c r="D502" t="s">
        <v>1496</v>
      </c>
      <c r="E502" s="14">
        <f t="shared" si="127"/>
        <v>46513</v>
      </c>
      <c r="F502" t="str">
        <f t="shared" si="128"/>
        <v>ordinario_s_ju</v>
      </c>
      <c r="G502" s="15" t="str">
        <f t="shared" si="129"/>
        <v>"06/05/2027": "ordinario_s_ju",</v>
      </c>
      <c r="H502" t="str">
        <f t="shared" si="130"/>
        <v/>
      </c>
    </row>
    <row r="503" spans="1:8">
      <c r="A503">
        <f t="shared" si="123"/>
        <v>2027</v>
      </c>
      <c r="B503" t="str">
        <f t="shared" si="126"/>
        <v>vi</v>
      </c>
      <c r="D503" t="s">
        <v>1496</v>
      </c>
      <c r="E503" s="14">
        <f t="shared" si="127"/>
        <v>46514</v>
      </c>
      <c r="F503" t="str">
        <f t="shared" si="128"/>
        <v>ordinario_s_vi</v>
      </c>
      <c r="G503" s="15" t="str">
        <f t="shared" si="129"/>
        <v>"07/05/2027": "ordinario_s_vi",</v>
      </c>
      <c r="H503" t="str">
        <f t="shared" si="130"/>
        <v/>
      </c>
    </row>
    <row r="504" spans="1:8">
      <c r="A504">
        <f t="shared" si="123"/>
        <v>2027</v>
      </c>
      <c r="B504" t="str">
        <f t="shared" si="126"/>
        <v>sa</v>
      </c>
      <c r="D504" t="s">
        <v>1496</v>
      </c>
      <c r="E504" s="14">
        <f t="shared" si="127"/>
        <v>46515</v>
      </c>
      <c r="F504" t="str">
        <f t="shared" si="128"/>
        <v>ordinario_s_sa</v>
      </c>
      <c r="G504" s="15" t="str">
        <f t="shared" si="129"/>
        <v>"08/05/2027": "ordinario_s_sa",</v>
      </c>
      <c r="H504" t="str">
        <f t="shared" si="130"/>
        <v/>
      </c>
    </row>
    <row r="505" spans="1:8">
      <c r="A505">
        <f t="shared" si="123"/>
        <v>2027</v>
      </c>
      <c r="B505" t="str">
        <f t="shared" si="126"/>
        <v>do</v>
      </c>
      <c r="D505" t="s">
        <v>1496</v>
      </c>
      <c r="E505" s="14">
        <f t="shared" si="127"/>
        <v>46516</v>
      </c>
      <c r="F505" t="str">
        <f t="shared" si="128"/>
        <v>ordinario_s_do</v>
      </c>
      <c r="G505" s="15" t="str">
        <f t="shared" si="129"/>
        <v>"09/05/2027": "ordinario_s_do",</v>
      </c>
      <c r="H505" t="str">
        <f t="shared" si="130"/>
        <v xml:space="preserve">// TIEMPO ORDINARIO SEMANA </v>
      </c>
    </row>
    <row r="506" spans="1:8">
      <c r="A506">
        <f t="shared" si="123"/>
        <v>2027</v>
      </c>
      <c r="B506" t="str">
        <f t="shared" si="126"/>
        <v>lu</v>
      </c>
      <c r="D506" t="s">
        <v>1496</v>
      </c>
      <c r="E506" s="14">
        <f t="shared" si="127"/>
        <v>46517</v>
      </c>
      <c r="F506" t="str">
        <f t="shared" si="128"/>
        <v>ordinario_s_lu</v>
      </c>
      <c r="G506" s="15" t="str">
        <f t="shared" si="129"/>
        <v>"10/05/2027": "ordinario_s_lu",</v>
      </c>
      <c r="H506" t="str">
        <f t="shared" si="130"/>
        <v/>
      </c>
    </row>
    <row r="507" spans="1:8">
      <c r="A507">
        <f t="shared" si="123"/>
        <v>2027</v>
      </c>
      <c r="B507" t="str">
        <f t="shared" si="126"/>
        <v>ma</v>
      </c>
      <c r="D507" t="s">
        <v>1496</v>
      </c>
      <c r="E507" s="14">
        <f t="shared" si="127"/>
        <v>46518</v>
      </c>
      <c r="F507" t="str">
        <f t="shared" si="128"/>
        <v>ordinario_s_ma</v>
      </c>
      <c r="G507" s="15" t="str">
        <f t="shared" si="129"/>
        <v>"11/05/2027": "ordinario_s_ma",</v>
      </c>
      <c r="H507" t="str">
        <f t="shared" si="130"/>
        <v/>
      </c>
    </row>
    <row r="508" spans="1:8">
      <c r="A508">
        <f t="shared" si="123"/>
        <v>2027</v>
      </c>
      <c r="B508" t="str">
        <f t="shared" si="126"/>
        <v>mi</v>
      </c>
      <c r="D508" t="s">
        <v>1496</v>
      </c>
      <c r="E508" s="14">
        <f t="shared" si="127"/>
        <v>46519</v>
      </c>
      <c r="F508" t="str">
        <f t="shared" si="128"/>
        <v>ordinario_s_mi</v>
      </c>
      <c r="G508" s="15" t="str">
        <f t="shared" si="129"/>
        <v>"12/05/2027": "ordinario_s_mi",</v>
      </c>
      <c r="H508" t="str">
        <f t="shared" si="130"/>
        <v/>
      </c>
    </row>
    <row r="509" spans="1:8">
      <c r="A509">
        <f t="shared" si="123"/>
        <v>2027</v>
      </c>
      <c r="B509" t="str">
        <f t="shared" si="126"/>
        <v>ju</v>
      </c>
      <c r="D509" t="s">
        <v>1496</v>
      </c>
      <c r="E509" s="14">
        <f t="shared" si="127"/>
        <v>46520</v>
      </c>
      <c r="F509" t="str">
        <f t="shared" si="128"/>
        <v>ordinario_s_ju</v>
      </c>
      <c r="G509" s="15" t="str">
        <f t="shared" si="129"/>
        <v>"13/05/2027": "ordinario_s_ju",</v>
      </c>
      <c r="H509" t="str">
        <f t="shared" si="130"/>
        <v/>
      </c>
    </row>
    <row r="510" spans="1:8">
      <c r="A510">
        <f t="shared" si="123"/>
        <v>2027</v>
      </c>
      <c r="B510" t="str">
        <f t="shared" si="126"/>
        <v>vi</v>
      </c>
      <c r="D510" t="s">
        <v>1496</v>
      </c>
      <c r="E510" s="14">
        <f t="shared" si="127"/>
        <v>46521</v>
      </c>
      <c r="F510" t="str">
        <f t="shared" si="128"/>
        <v>ordinario_s_vi</v>
      </c>
      <c r="G510" s="15" t="str">
        <f t="shared" si="129"/>
        <v>"14/05/2027": "ordinario_s_vi",</v>
      </c>
      <c r="H510" t="str">
        <f t="shared" si="130"/>
        <v/>
      </c>
    </row>
    <row r="511" spans="1:8">
      <c r="A511">
        <f t="shared" si="123"/>
        <v>2027</v>
      </c>
      <c r="B511" t="str">
        <f t="shared" si="126"/>
        <v>sa</v>
      </c>
      <c r="D511" t="s">
        <v>1496</v>
      </c>
      <c r="E511" s="14">
        <f t="shared" si="127"/>
        <v>46522</v>
      </c>
      <c r="F511" t="str">
        <f t="shared" si="128"/>
        <v>ordinario_s_sa</v>
      </c>
      <c r="G511" s="15" t="str">
        <f t="shared" si="129"/>
        <v>"15/05/2027": "ordinario_s_sa",</v>
      </c>
      <c r="H511" t="str">
        <f t="shared" si="130"/>
        <v/>
      </c>
    </row>
    <row r="512" spans="1:8">
      <c r="A512">
        <f t="shared" si="123"/>
        <v>2027</v>
      </c>
      <c r="B512" t="str">
        <f t="shared" si="126"/>
        <v>do</v>
      </c>
      <c r="D512" t="s">
        <v>1496</v>
      </c>
      <c r="E512" s="14">
        <f t="shared" si="127"/>
        <v>46523</v>
      </c>
      <c r="F512" t="str">
        <f t="shared" si="128"/>
        <v>ordinario_s_do</v>
      </c>
      <c r="G512" s="15" t="str">
        <f t="shared" si="129"/>
        <v>"16/05/2027": "ordinario_s_do",</v>
      </c>
      <c r="H512" t="str">
        <f t="shared" si="130"/>
        <v xml:space="preserve">// TIEMPO ORDINARIO SEMANA </v>
      </c>
    </row>
    <row r="513" spans="1:8">
      <c r="A513">
        <f t="shared" si="123"/>
        <v>2027</v>
      </c>
      <c r="B513" t="str">
        <f t="shared" si="126"/>
        <v>lu</v>
      </c>
      <c r="D513" t="s">
        <v>1496</v>
      </c>
      <c r="E513" s="14">
        <f t="shared" si="127"/>
        <v>46524</v>
      </c>
      <c r="F513" t="str">
        <f t="shared" si="128"/>
        <v>ordinario_s_lu</v>
      </c>
      <c r="G513" s="15" t="str">
        <f t="shared" si="129"/>
        <v>"17/05/2027": "ordinario_s_lu",</v>
      </c>
      <c r="H513" t="str">
        <f t="shared" si="130"/>
        <v/>
      </c>
    </row>
    <row r="514" spans="1:8">
      <c r="A514">
        <f t="shared" si="123"/>
        <v>2027</v>
      </c>
      <c r="B514" t="str">
        <f t="shared" si="126"/>
        <v>ma</v>
      </c>
      <c r="D514" t="s">
        <v>1496</v>
      </c>
      <c r="E514" s="14">
        <f t="shared" si="127"/>
        <v>46525</v>
      </c>
      <c r="F514" t="str">
        <f t="shared" si="128"/>
        <v>ordinario_s_ma</v>
      </c>
      <c r="G514" s="15" t="str">
        <f t="shared" si="129"/>
        <v>"18/05/2027": "ordinario_s_ma",</v>
      </c>
      <c r="H514" t="str">
        <f t="shared" si="130"/>
        <v/>
      </c>
    </row>
    <row r="515" spans="1:8">
      <c r="A515">
        <f t="shared" si="123"/>
        <v>2027</v>
      </c>
      <c r="B515" t="str">
        <f t="shared" si="126"/>
        <v>mi</v>
      </c>
      <c r="D515" t="s">
        <v>1496</v>
      </c>
      <c r="E515" s="14">
        <f t="shared" si="127"/>
        <v>46526</v>
      </c>
      <c r="F515" t="str">
        <f t="shared" si="128"/>
        <v>ordinario_s_mi</v>
      </c>
      <c r="G515" s="15" t="str">
        <f t="shared" si="129"/>
        <v>"19/05/2027": "ordinario_s_mi",</v>
      </c>
      <c r="H515" t="str">
        <f t="shared" si="130"/>
        <v/>
      </c>
    </row>
    <row r="516" spans="1:8">
      <c r="A516">
        <f t="shared" si="123"/>
        <v>2027</v>
      </c>
      <c r="B516" t="str">
        <f t="shared" si="126"/>
        <v>ju</v>
      </c>
      <c r="D516" t="s">
        <v>1496</v>
      </c>
      <c r="E516" s="14">
        <f t="shared" si="127"/>
        <v>46527</v>
      </c>
      <c r="F516" t="str">
        <f t="shared" si="128"/>
        <v>ordinario_s_ju</v>
      </c>
      <c r="G516" s="15" t="str">
        <f t="shared" si="129"/>
        <v>"20/05/2027": "ordinario_s_ju",</v>
      </c>
      <c r="H516" t="str">
        <f t="shared" si="130"/>
        <v/>
      </c>
    </row>
    <row r="517" spans="1:8">
      <c r="A517">
        <f t="shared" si="123"/>
        <v>2027</v>
      </c>
      <c r="B517" t="str">
        <f t="shared" si="126"/>
        <v>vi</v>
      </c>
      <c r="D517" t="s">
        <v>1496</v>
      </c>
      <c r="E517" s="14">
        <f t="shared" si="127"/>
        <v>46528</v>
      </c>
      <c r="F517" t="str">
        <f t="shared" si="128"/>
        <v>ordinario_s_vi</v>
      </c>
      <c r="G517" s="15" t="str">
        <f t="shared" si="129"/>
        <v>"21/05/2027": "ordinario_s_vi",</v>
      </c>
      <c r="H517" t="str">
        <f t="shared" si="130"/>
        <v/>
      </c>
    </row>
    <row r="518" spans="1:8">
      <c r="A518">
        <f t="shared" si="123"/>
        <v>2027</v>
      </c>
      <c r="B518" t="str">
        <f t="shared" si="126"/>
        <v>sa</v>
      </c>
      <c r="D518" t="s">
        <v>1496</v>
      </c>
      <c r="E518" s="14">
        <f t="shared" si="127"/>
        <v>46529</v>
      </c>
      <c r="F518" t="str">
        <f t="shared" si="128"/>
        <v>ordinario_s_sa</v>
      </c>
      <c r="G518" s="15" t="str">
        <f t="shared" si="129"/>
        <v>"22/05/2027": "ordinario_s_sa",</v>
      </c>
      <c r="H518" t="str">
        <f t="shared" si="130"/>
        <v/>
      </c>
    </row>
    <row r="519" spans="1:8">
      <c r="A519">
        <f t="shared" si="123"/>
        <v>2027</v>
      </c>
      <c r="B519" t="str">
        <f t="shared" si="126"/>
        <v>do</v>
      </c>
      <c r="D519" t="s">
        <v>1496</v>
      </c>
      <c r="E519" s="14">
        <f t="shared" si="127"/>
        <v>46530</v>
      </c>
      <c r="F519" t="str">
        <f t="shared" si="128"/>
        <v>ordinario_s_do</v>
      </c>
      <c r="G519" s="15" t="str">
        <f t="shared" si="129"/>
        <v>"23/05/2027": "ordinario_s_do",</v>
      </c>
      <c r="H519" t="str">
        <f t="shared" si="130"/>
        <v xml:space="preserve">// TIEMPO ORDINARIO SEMANA </v>
      </c>
    </row>
    <row r="520" spans="1:8">
      <c r="A520">
        <f t="shared" si="123"/>
        <v>2027</v>
      </c>
      <c r="B520" t="str">
        <f t="shared" si="126"/>
        <v>lu</v>
      </c>
      <c r="D520" t="s">
        <v>1496</v>
      </c>
      <c r="E520" s="14">
        <f t="shared" si="127"/>
        <v>46531</v>
      </c>
      <c r="F520" t="str">
        <f t="shared" si="128"/>
        <v>ordinario_s_lu</v>
      </c>
      <c r="G520" s="15" t="str">
        <f t="shared" si="129"/>
        <v>"24/05/2027": "ordinario_s_lu",</v>
      </c>
      <c r="H520" t="str">
        <f t="shared" si="130"/>
        <v/>
      </c>
    </row>
    <row r="521" spans="1:8">
      <c r="A521">
        <f t="shared" si="123"/>
        <v>2027</v>
      </c>
      <c r="B521" t="str">
        <f t="shared" si="126"/>
        <v>ma</v>
      </c>
      <c r="D521" t="s">
        <v>1496</v>
      </c>
      <c r="E521" s="14">
        <f t="shared" si="127"/>
        <v>46532</v>
      </c>
      <c r="F521" t="str">
        <f t="shared" si="128"/>
        <v>ordinario_s_ma</v>
      </c>
      <c r="G521" s="15" t="str">
        <f t="shared" si="129"/>
        <v>"25/05/2027": "ordinario_s_ma",</v>
      </c>
      <c r="H521" t="str">
        <f t="shared" si="130"/>
        <v/>
      </c>
    </row>
    <row r="522" spans="1:8">
      <c r="A522">
        <f t="shared" si="123"/>
        <v>2027</v>
      </c>
      <c r="B522" t="str">
        <f t="shared" si="126"/>
        <v>mi</v>
      </c>
      <c r="D522" t="s">
        <v>1496</v>
      </c>
      <c r="E522" s="14">
        <f t="shared" si="127"/>
        <v>46533</v>
      </c>
      <c r="F522" t="str">
        <f t="shared" si="128"/>
        <v>ordinario_s_mi</v>
      </c>
      <c r="G522" s="15" t="str">
        <f t="shared" si="129"/>
        <v>"26/05/2027": "ordinario_s_mi",</v>
      </c>
      <c r="H522" t="str">
        <f t="shared" si="130"/>
        <v/>
      </c>
    </row>
    <row r="523" spans="1:8">
      <c r="A523">
        <f t="shared" si="123"/>
        <v>2027</v>
      </c>
      <c r="B523" t="str">
        <f t="shared" si="126"/>
        <v>ju</v>
      </c>
      <c r="D523" t="s">
        <v>1496</v>
      </c>
      <c r="E523" s="14">
        <f t="shared" si="127"/>
        <v>46534</v>
      </c>
      <c r="F523" t="str">
        <f t="shared" si="128"/>
        <v>ordinario_s_ju</v>
      </c>
      <c r="G523" s="15" t="str">
        <f t="shared" si="129"/>
        <v>"27/05/2027": "ordinario_s_ju",</v>
      </c>
      <c r="H523" t="str">
        <f t="shared" si="130"/>
        <v/>
      </c>
    </row>
    <row r="524" spans="1:8">
      <c r="A524">
        <f t="shared" si="123"/>
        <v>2027</v>
      </c>
      <c r="B524" t="str">
        <f t="shared" si="126"/>
        <v>vi</v>
      </c>
      <c r="D524" t="s">
        <v>1496</v>
      </c>
      <c r="E524" s="14">
        <f t="shared" si="127"/>
        <v>46535</v>
      </c>
      <c r="F524" t="str">
        <f t="shared" si="128"/>
        <v>ordinario_s_vi</v>
      </c>
      <c r="G524" s="15" t="str">
        <f t="shared" si="129"/>
        <v>"28/05/2027": "ordinario_s_vi",</v>
      </c>
      <c r="H524" t="str">
        <f t="shared" si="130"/>
        <v/>
      </c>
    </row>
    <row r="525" spans="1:8">
      <c r="A525">
        <f t="shared" si="123"/>
        <v>2027</v>
      </c>
      <c r="B525" t="str">
        <f t="shared" si="126"/>
        <v>sa</v>
      </c>
      <c r="D525" t="s">
        <v>1496</v>
      </c>
      <c r="E525" s="14">
        <f t="shared" si="127"/>
        <v>46536</v>
      </c>
      <c r="F525" t="str">
        <f t="shared" si="128"/>
        <v>ordinario_s_sa</v>
      </c>
      <c r="G525" s="15" t="str">
        <f t="shared" si="129"/>
        <v>"29/05/2027": "ordinario_s_sa",</v>
      </c>
      <c r="H525" t="str">
        <f t="shared" si="130"/>
        <v/>
      </c>
    </row>
    <row r="526" spans="1:8">
      <c r="A526">
        <f t="shared" si="123"/>
        <v>2027</v>
      </c>
      <c r="B526" t="str">
        <f t="shared" si="126"/>
        <v>do</v>
      </c>
      <c r="D526" t="s">
        <v>1496</v>
      </c>
      <c r="E526" s="14">
        <f t="shared" si="127"/>
        <v>46537</v>
      </c>
      <c r="F526" t="str">
        <f t="shared" si="128"/>
        <v>ordinario_s_do</v>
      </c>
      <c r="G526" s="15" t="str">
        <f t="shared" si="129"/>
        <v>"30/05/2027": "ordinario_s_do",</v>
      </c>
      <c r="H526" t="str">
        <f t="shared" si="130"/>
        <v xml:space="preserve">// TIEMPO ORDINARIO SEMANA </v>
      </c>
    </row>
    <row r="527" spans="1:8">
      <c r="A527">
        <f t="shared" si="123"/>
        <v>2027</v>
      </c>
      <c r="B527" t="str">
        <f t="shared" si="126"/>
        <v>lu</v>
      </c>
      <c r="D527" t="s">
        <v>1496</v>
      </c>
      <c r="E527" s="14">
        <f t="shared" si="127"/>
        <v>46538</v>
      </c>
      <c r="F527" t="str">
        <f t="shared" si="128"/>
        <v>ordinario_s_lu</v>
      </c>
      <c r="G527" s="15" t="str">
        <f t="shared" si="129"/>
        <v>"31/05/2027": "ordinario_s_lu",</v>
      </c>
      <c r="H527" t="str">
        <f t="shared" si="130"/>
        <v/>
      </c>
    </row>
    <row r="528" spans="1:8">
      <c r="A528">
        <f t="shared" si="123"/>
        <v>2027</v>
      </c>
      <c r="B528" t="str">
        <f t="shared" si="126"/>
        <v>ma</v>
      </c>
      <c r="D528" t="s">
        <v>1496</v>
      </c>
      <c r="E528" s="14">
        <f t="shared" si="127"/>
        <v>46539</v>
      </c>
      <c r="F528" t="str">
        <f t="shared" si="128"/>
        <v>ordinario_s_ma</v>
      </c>
      <c r="G528" s="15" t="str">
        <f t="shared" si="129"/>
        <v>"01/06/2027": "ordinario_s_ma",</v>
      </c>
      <c r="H528" t="str">
        <f t="shared" si="130"/>
        <v/>
      </c>
    </row>
    <row r="529" spans="1:8">
      <c r="A529">
        <f t="shared" si="123"/>
        <v>2027</v>
      </c>
      <c r="B529" t="str">
        <f t="shared" si="126"/>
        <v>mi</v>
      </c>
      <c r="D529" t="s">
        <v>1496</v>
      </c>
      <c r="E529" s="14">
        <f t="shared" si="127"/>
        <v>46540</v>
      </c>
      <c r="F529" t="str">
        <f t="shared" si="128"/>
        <v>ordinario_s_mi</v>
      </c>
      <c r="G529" s="15" t="str">
        <f t="shared" si="129"/>
        <v>"02/06/2027": "ordinario_s_mi",</v>
      </c>
      <c r="H529" t="str">
        <f t="shared" si="130"/>
        <v/>
      </c>
    </row>
    <row r="530" spans="1:8">
      <c r="A530">
        <f t="shared" si="123"/>
        <v>2027</v>
      </c>
      <c r="B530" t="str">
        <f t="shared" si="126"/>
        <v>ju</v>
      </c>
      <c r="D530" t="s">
        <v>1496</v>
      </c>
      <c r="E530" s="14">
        <f t="shared" si="127"/>
        <v>46541</v>
      </c>
      <c r="F530" t="str">
        <f t="shared" si="128"/>
        <v>ordinario_s_ju</v>
      </c>
      <c r="G530" s="15" t="str">
        <f t="shared" si="129"/>
        <v>"03/06/2027": "ordinario_s_ju",</v>
      </c>
      <c r="H530" t="str">
        <f t="shared" si="130"/>
        <v/>
      </c>
    </row>
    <row r="531" spans="1:8">
      <c r="A531">
        <f t="shared" si="123"/>
        <v>2027</v>
      </c>
      <c r="B531" t="str">
        <f t="shared" si="126"/>
        <v>vi</v>
      </c>
      <c r="D531" t="s">
        <v>1496</v>
      </c>
      <c r="E531" s="14">
        <f t="shared" si="127"/>
        <v>46542</v>
      </c>
      <c r="F531" t="str">
        <f t="shared" si="128"/>
        <v>ordinario_s_vi</v>
      </c>
      <c r="G531" s="15" t="str">
        <f t="shared" si="129"/>
        <v>"04/06/2027": "ordinario_s_vi",</v>
      </c>
      <c r="H531" t="str">
        <f t="shared" si="130"/>
        <v/>
      </c>
    </row>
    <row r="532" spans="1:8">
      <c r="A532">
        <f t="shared" si="123"/>
        <v>2027</v>
      </c>
      <c r="B532" t="str">
        <f t="shared" si="126"/>
        <v>sa</v>
      </c>
      <c r="D532" t="s">
        <v>1496</v>
      </c>
      <c r="E532" s="14">
        <f t="shared" si="127"/>
        <v>46543</v>
      </c>
      <c r="F532" t="str">
        <f t="shared" si="128"/>
        <v>ordinario_s_sa</v>
      </c>
      <c r="G532" s="15" t="str">
        <f t="shared" si="129"/>
        <v>"05/06/2027": "ordinario_s_sa",</v>
      </c>
      <c r="H532" t="str">
        <f t="shared" si="130"/>
        <v/>
      </c>
    </row>
    <row r="533" spans="1:8">
      <c r="A533">
        <f t="shared" si="123"/>
        <v>2027</v>
      </c>
      <c r="B533" t="str">
        <f t="shared" si="126"/>
        <v>do</v>
      </c>
      <c r="D533" t="s">
        <v>1496</v>
      </c>
      <c r="E533" s="14">
        <f t="shared" si="127"/>
        <v>46544</v>
      </c>
      <c r="F533" t="str">
        <f t="shared" si="128"/>
        <v>ordinario_s_do</v>
      </c>
      <c r="G533" s="15" t="str">
        <f t="shared" si="129"/>
        <v>"06/06/2027": "ordinario_s_do",</v>
      </c>
      <c r="H533" t="str">
        <f t="shared" si="130"/>
        <v xml:space="preserve">// TIEMPO ORDINARIO SEMANA </v>
      </c>
    </row>
    <row r="534" spans="1:8">
      <c r="A534">
        <f t="shared" si="123"/>
        <v>2027</v>
      </c>
      <c r="B534" t="str">
        <f t="shared" si="126"/>
        <v>lu</v>
      </c>
      <c r="D534" t="s">
        <v>1496</v>
      </c>
      <c r="E534" s="14">
        <f t="shared" si="127"/>
        <v>46545</v>
      </c>
      <c r="F534" t="str">
        <f t="shared" si="128"/>
        <v>ordinario_s_lu</v>
      </c>
      <c r="G534" s="15" t="str">
        <f t="shared" si="129"/>
        <v>"07/06/2027": "ordinario_s_lu",</v>
      </c>
      <c r="H534" t="str">
        <f t="shared" si="130"/>
        <v/>
      </c>
    </row>
    <row r="535" spans="1:8">
      <c r="A535">
        <f t="shared" si="123"/>
        <v>2027</v>
      </c>
      <c r="B535" t="str">
        <f t="shared" si="126"/>
        <v>ma</v>
      </c>
      <c r="D535" t="s">
        <v>1496</v>
      </c>
      <c r="E535" s="14">
        <f t="shared" si="127"/>
        <v>46546</v>
      </c>
      <c r="F535" t="str">
        <f t="shared" si="128"/>
        <v>ordinario_s_ma</v>
      </c>
      <c r="G535" s="15" t="str">
        <f t="shared" si="129"/>
        <v>"08/06/2027": "ordinario_s_ma",</v>
      </c>
      <c r="H535" t="str">
        <f t="shared" si="130"/>
        <v/>
      </c>
    </row>
    <row r="536" spans="1:8">
      <c r="A536">
        <f t="shared" si="123"/>
        <v>2027</v>
      </c>
      <c r="B536" t="str">
        <f t="shared" si="126"/>
        <v>mi</v>
      </c>
      <c r="D536" t="s">
        <v>1496</v>
      </c>
      <c r="E536" s="14">
        <f t="shared" si="127"/>
        <v>46547</v>
      </c>
      <c r="F536" t="str">
        <f t="shared" si="128"/>
        <v>ordinario_s_mi</v>
      </c>
      <c r="G536" s="15" t="str">
        <f t="shared" si="129"/>
        <v>"09/06/2027": "ordinario_s_mi",</v>
      </c>
      <c r="H536" t="str">
        <f t="shared" si="130"/>
        <v/>
      </c>
    </row>
    <row r="537" spans="1:8">
      <c r="A537">
        <f t="shared" si="123"/>
        <v>2027</v>
      </c>
      <c r="B537" t="str">
        <f t="shared" si="126"/>
        <v>ju</v>
      </c>
      <c r="D537" t="s">
        <v>1496</v>
      </c>
      <c r="E537" s="14">
        <f t="shared" si="127"/>
        <v>46548</v>
      </c>
      <c r="F537" t="str">
        <f t="shared" si="128"/>
        <v>ordinario_s_ju</v>
      </c>
      <c r="G537" s="15" t="str">
        <f t="shared" si="129"/>
        <v>"10/06/2027": "ordinario_s_ju",</v>
      </c>
      <c r="H537" t="str">
        <f t="shared" si="130"/>
        <v/>
      </c>
    </row>
    <row r="538" spans="1:8">
      <c r="A538">
        <f t="shared" si="123"/>
        <v>2027</v>
      </c>
      <c r="B538" t="str">
        <f t="shared" si="126"/>
        <v>vi</v>
      </c>
      <c r="D538" t="s">
        <v>1496</v>
      </c>
      <c r="E538" s="14">
        <f t="shared" si="127"/>
        <v>46549</v>
      </c>
      <c r="F538" t="str">
        <f t="shared" si="128"/>
        <v>ordinario_s_vi</v>
      </c>
      <c r="G538" s="15" t="str">
        <f t="shared" si="129"/>
        <v>"11/06/2027": "ordinario_s_vi",</v>
      </c>
      <c r="H538" t="str">
        <f t="shared" si="130"/>
        <v/>
      </c>
    </row>
    <row r="539" spans="1:8">
      <c r="A539">
        <f t="shared" si="123"/>
        <v>2027</v>
      </c>
      <c r="B539" t="str">
        <f t="shared" si="126"/>
        <v>sa</v>
      </c>
      <c r="D539" t="s">
        <v>1496</v>
      </c>
      <c r="E539" s="14">
        <f t="shared" si="127"/>
        <v>46550</v>
      </c>
      <c r="F539" t="str">
        <f t="shared" si="128"/>
        <v>ordinario_s_sa</v>
      </c>
      <c r="G539" s="15" t="str">
        <f t="shared" si="129"/>
        <v>"12/06/2027": "ordinario_s_sa",</v>
      </c>
      <c r="H539" t="str">
        <f t="shared" si="130"/>
        <v/>
      </c>
    </row>
    <row r="540" spans="1:8">
      <c r="A540">
        <f t="shared" si="123"/>
        <v>2027</v>
      </c>
      <c r="B540" t="str">
        <f t="shared" si="126"/>
        <v>do</v>
      </c>
      <c r="D540" t="s">
        <v>1496</v>
      </c>
      <c r="E540" s="14">
        <f t="shared" si="127"/>
        <v>46551</v>
      </c>
      <c r="F540" t="str">
        <f t="shared" si="128"/>
        <v>ordinario_s_do</v>
      </c>
      <c r="G540" s="15" t="str">
        <f t="shared" si="129"/>
        <v>"13/06/2027": "ordinario_s_do",</v>
      </c>
      <c r="H540" t="str">
        <f t="shared" si="130"/>
        <v xml:space="preserve">// TIEMPO ORDINARIO SEMANA </v>
      </c>
    </row>
    <row r="541" spans="1:8">
      <c r="A541">
        <f t="shared" si="123"/>
        <v>2027</v>
      </c>
      <c r="B541" t="str">
        <f t="shared" si="126"/>
        <v>lu</v>
      </c>
      <c r="D541" t="s">
        <v>1496</v>
      </c>
      <c r="E541" s="14">
        <f t="shared" si="127"/>
        <v>46552</v>
      </c>
      <c r="F541" t="str">
        <f t="shared" si="128"/>
        <v>ordinario_s_lu</v>
      </c>
      <c r="G541" s="15" t="str">
        <f t="shared" si="129"/>
        <v>"14/06/2027": "ordinario_s_lu",</v>
      </c>
      <c r="H541" t="str">
        <f t="shared" si="130"/>
        <v/>
      </c>
    </row>
    <row r="542" spans="1:8">
      <c r="A542">
        <f t="shared" si="123"/>
        <v>2027</v>
      </c>
      <c r="B542" t="str">
        <f t="shared" si="126"/>
        <v>ma</v>
      </c>
      <c r="D542" t="s">
        <v>1496</v>
      </c>
      <c r="E542" s="14">
        <f t="shared" si="127"/>
        <v>46553</v>
      </c>
      <c r="F542" t="str">
        <f t="shared" si="128"/>
        <v>ordinario_s_ma</v>
      </c>
      <c r="G542" s="15" t="str">
        <f t="shared" si="129"/>
        <v>"15/06/2027": "ordinario_s_ma",</v>
      </c>
      <c r="H542" t="str">
        <f t="shared" si="130"/>
        <v/>
      </c>
    </row>
    <row r="543" spans="1:8">
      <c r="A543">
        <f t="shared" si="123"/>
        <v>2027</v>
      </c>
      <c r="B543" t="str">
        <f t="shared" si="126"/>
        <v>mi</v>
      </c>
      <c r="D543" t="s">
        <v>1496</v>
      </c>
      <c r="E543" s="14">
        <f t="shared" si="127"/>
        <v>46554</v>
      </c>
      <c r="F543" t="str">
        <f t="shared" si="128"/>
        <v>ordinario_s_mi</v>
      </c>
      <c r="G543" s="15" t="str">
        <f t="shared" si="129"/>
        <v>"16/06/2027": "ordinario_s_mi",</v>
      </c>
      <c r="H543" t="str">
        <f t="shared" si="130"/>
        <v/>
      </c>
    </row>
    <row r="544" spans="1:8">
      <c r="A544">
        <f t="shared" si="123"/>
        <v>2027</v>
      </c>
      <c r="B544" t="str">
        <f t="shared" si="126"/>
        <v>ju</v>
      </c>
      <c r="D544" t="s">
        <v>1496</v>
      </c>
      <c r="E544" s="14">
        <f t="shared" si="127"/>
        <v>46555</v>
      </c>
      <c r="F544" t="str">
        <f t="shared" si="128"/>
        <v>ordinario_s_ju</v>
      </c>
      <c r="G544" s="15" t="str">
        <f t="shared" si="129"/>
        <v>"17/06/2027": "ordinario_s_ju",</v>
      </c>
      <c r="H544" t="str">
        <f t="shared" si="130"/>
        <v/>
      </c>
    </row>
    <row r="545" spans="1:8">
      <c r="A545">
        <f t="shared" ref="A545:A608" si="131">YEAR(E545)</f>
        <v>2027</v>
      </c>
      <c r="B545" t="str">
        <f t="shared" si="126"/>
        <v>vi</v>
      </c>
      <c r="D545" t="s">
        <v>1496</v>
      </c>
      <c r="E545" s="14">
        <f t="shared" si="127"/>
        <v>46556</v>
      </c>
      <c r="F545" t="str">
        <f t="shared" si="128"/>
        <v>ordinario_s_vi</v>
      </c>
      <c r="G545" s="15" t="str">
        <f t="shared" si="129"/>
        <v>"18/06/2027": "ordinario_s_vi",</v>
      </c>
      <c r="H545" t="str">
        <f t="shared" si="130"/>
        <v/>
      </c>
    </row>
    <row r="546" spans="1:8">
      <c r="A546">
        <f t="shared" si="131"/>
        <v>2027</v>
      </c>
      <c r="B546" t="str">
        <f t="shared" si="126"/>
        <v>sa</v>
      </c>
      <c r="D546" t="s">
        <v>1496</v>
      </c>
      <c r="E546" s="14">
        <f t="shared" si="127"/>
        <v>46557</v>
      </c>
      <c r="F546" t="str">
        <f t="shared" si="128"/>
        <v>ordinario_s_sa</v>
      </c>
      <c r="G546" s="15" t="str">
        <f t="shared" si="129"/>
        <v>"19/06/2027": "ordinario_s_sa",</v>
      </c>
      <c r="H546" t="str">
        <f t="shared" si="130"/>
        <v/>
      </c>
    </row>
    <row r="547" spans="1:8">
      <c r="A547">
        <f t="shared" si="131"/>
        <v>2027</v>
      </c>
      <c r="B547" t="str">
        <f t="shared" si="126"/>
        <v>do</v>
      </c>
      <c r="D547" t="s">
        <v>1496</v>
      </c>
      <c r="E547" s="14">
        <f t="shared" si="127"/>
        <v>46558</v>
      </c>
      <c r="F547" t="str">
        <f t="shared" si="128"/>
        <v>ordinario_s_do</v>
      </c>
      <c r="G547" s="15" t="str">
        <f t="shared" si="129"/>
        <v>"20/06/2027": "ordinario_s_do",</v>
      </c>
      <c r="H547" t="str">
        <f t="shared" si="130"/>
        <v xml:space="preserve">// TIEMPO ORDINARIO SEMANA </v>
      </c>
    </row>
    <row r="548" spans="1:8">
      <c r="A548">
        <f t="shared" si="131"/>
        <v>2027</v>
      </c>
      <c r="B548" t="str">
        <f t="shared" si="126"/>
        <v>lu</v>
      </c>
      <c r="D548" t="s">
        <v>1496</v>
      </c>
      <c r="E548" s="14">
        <f t="shared" si="127"/>
        <v>46559</v>
      </c>
      <c r="F548" t="str">
        <f t="shared" si="128"/>
        <v>ordinario_s_lu</v>
      </c>
      <c r="G548" s="15" t="str">
        <f t="shared" si="129"/>
        <v>"21/06/2027": "ordinario_s_lu",</v>
      </c>
      <c r="H548" t="str">
        <f t="shared" si="130"/>
        <v/>
      </c>
    </row>
    <row r="549" spans="1:8">
      <c r="A549">
        <f t="shared" si="131"/>
        <v>2027</v>
      </c>
      <c r="B549" t="str">
        <f t="shared" si="126"/>
        <v>ma</v>
      </c>
      <c r="D549" t="s">
        <v>1496</v>
      </c>
      <c r="E549" s="14">
        <f t="shared" si="127"/>
        <v>46560</v>
      </c>
      <c r="F549" t="str">
        <f t="shared" si="128"/>
        <v>ordinario_s_ma</v>
      </c>
      <c r="G549" s="15" t="str">
        <f t="shared" si="129"/>
        <v>"22/06/2027": "ordinario_s_ma",</v>
      </c>
      <c r="H549" t="str">
        <f t="shared" si="130"/>
        <v/>
      </c>
    </row>
    <row r="550" spans="1:8">
      <c r="A550">
        <f t="shared" si="131"/>
        <v>2027</v>
      </c>
      <c r="B550" t="str">
        <f t="shared" si="126"/>
        <v>mi</v>
      </c>
      <c r="D550" t="s">
        <v>1496</v>
      </c>
      <c r="E550" s="14">
        <f t="shared" si="127"/>
        <v>46561</v>
      </c>
      <c r="F550" t="str">
        <f t="shared" si="128"/>
        <v>ordinario_s_mi</v>
      </c>
      <c r="G550" s="15" t="str">
        <f t="shared" si="129"/>
        <v>"23/06/2027": "ordinario_s_mi",</v>
      </c>
      <c r="H550" t="str">
        <f t="shared" si="130"/>
        <v/>
      </c>
    </row>
    <row r="551" spans="1:8">
      <c r="A551">
        <f t="shared" si="131"/>
        <v>2027</v>
      </c>
      <c r="B551" t="str">
        <f t="shared" si="126"/>
        <v>ju</v>
      </c>
      <c r="D551" t="s">
        <v>1496</v>
      </c>
      <c r="E551" s="14">
        <f t="shared" si="127"/>
        <v>46562</v>
      </c>
      <c r="F551" t="str">
        <f t="shared" si="128"/>
        <v>ordinario_s_ju</v>
      </c>
      <c r="G551" s="15" t="str">
        <f t="shared" si="129"/>
        <v>"24/06/2027": "ordinario_s_ju",</v>
      </c>
      <c r="H551" t="str">
        <f t="shared" si="130"/>
        <v/>
      </c>
    </row>
    <row r="552" spans="1:8">
      <c r="A552">
        <f t="shared" si="131"/>
        <v>2027</v>
      </c>
      <c r="B552" t="str">
        <f t="shared" si="126"/>
        <v>vi</v>
      </c>
      <c r="D552" t="s">
        <v>1496</v>
      </c>
      <c r="E552" s="14">
        <f t="shared" si="127"/>
        <v>46563</v>
      </c>
      <c r="F552" t="str">
        <f t="shared" si="128"/>
        <v>ordinario_s_vi</v>
      </c>
      <c r="G552" s="15" t="str">
        <f t="shared" si="129"/>
        <v>"25/06/2027": "ordinario_s_vi",</v>
      </c>
      <c r="H552" t="str">
        <f t="shared" si="130"/>
        <v/>
      </c>
    </row>
    <row r="553" spans="1:8">
      <c r="A553">
        <f t="shared" si="131"/>
        <v>2027</v>
      </c>
      <c r="B553" t="str">
        <f t="shared" si="126"/>
        <v>sa</v>
      </c>
      <c r="D553" t="s">
        <v>1496</v>
      </c>
      <c r="E553" s="14">
        <f t="shared" si="127"/>
        <v>46564</v>
      </c>
      <c r="F553" t="str">
        <f t="shared" si="128"/>
        <v>ordinario_s_sa</v>
      </c>
      <c r="G553" s="15" t="str">
        <f t="shared" si="129"/>
        <v>"26/06/2027": "ordinario_s_sa",</v>
      </c>
      <c r="H553" t="str">
        <f t="shared" si="130"/>
        <v/>
      </c>
    </row>
    <row r="554" spans="1:8">
      <c r="A554">
        <f t="shared" si="131"/>
        <v>2027</v>
      </c>
      <c r="B554" t="str">
        <f t="shared" si="126"/>
        <v>do</v>
      </c>
      <c r="D554" t="s">
        <v>1496</v>
      </c>
      <c r="E554" s="14">
        <f t="shared" si="127"/>
        <v>46565</v>
      </c>
      <c r="F554" t="str">
        <f t="shared" si="128"/>
        <v>ordinario_s_do</v>
      </c>
      <c r="G554" s="15" t="str">
        <f t="shared" si="129"/>
        <v>"27/06/2027": "ordinario_s_do",</v>
      </c>
      <c r="H554" t="str">
        <f t="shared" si="130"/>
        <v xml:space="preserve">// TIEMPO ORDINARIO SEMANA </v>
      </c>
    </row>
    <row r="555" spans="1:8">
      <c r="A555">
        <f t="shared" si="131"/>
        <v>2027</v>
      </c>
      <c r="B555" t="str">
        <f t="shared" si="126"/>
        <v>lu</v>
      </c>
      <c r="D555" t="s">
        <v>1496</v>
      </c>
      <c r="E555" s="14">
        <f t="shared" si="127"/>
        <v>46566</v>
      </c>
      <c r="F555" t="str">
        <f t="shared" si="128"/>
        <v>ordinario_s_lu</v>
      </c>
      <c r="G555" s="15" t="str">
        <f t="shared" si="129"/>
        <v>"28/06/2027": "ordinario_s_lu",</v>
      </c>
      <c r="H555" t="str">
        <f t="shared" si="130"/>
        <v/>
      </c>
    </row>
    <row r="556" spans="1:8">
      <c r="A556">
        <f t="shared" si="131"/>
        <v>2027</v>
      </c>
      <c r="B556" t="str">
        <f t="shared" ref="B556:B619" si="132">CHOOSE(WEEKDAY(E556), "do", "lu", "ma", "mi", "ju", "vi", "sa")</f>
        <v>ma</v>
      </c>
      <c r="D556" t="s">
        <v>1496</v>
      </c>
      <c r="E556" s="14">
        <f t="shared" ref="E556:E619" si="133">+E555+1</f>
        <v>46567</v>
      </c>
      <c r="F556" t="str">
        <f t="shared" ref="F556:F619" si="134">_xlfn.CONCAT(D556,"_s",C556,"_",B556)</f>
        <v>ordinario_s_ma</v>
      </c>
      <c r="G556" s="15" t="str">
        <f t="shared" ref="G556:G619" si="135">"""" &amp; TEXT(E556, "dd/mm/yyyy") &amp; """: """ &amp; F556 &amp; ""","</f>
        <v>"29/06/2027": "ordinario_s_ma",</v>
      </c>
      <c r="H556" t="str">
        <f t="shared" ref="H556:H619" si="136">IF(B556="do", "// TIEMPO " &amp; UPPER(D556) &amp; " SEMANA " &amp; C556, "")</f>
        <v/>
      </c>
    </row>
    <row r="557" spans="1:8">
      <c r="A557">
        <f t="shared" si="131"/>
        <v>2027</v>
      </c>
      <c r="B557" t="str">
        <f t="shared" si="132"/>
        <v>mi</v>
      </c>
      <c r="D557" t="s">
        <v>1496</v>
      </c>
      <c r="E557" s="14">
        <f t="shared" si="133"/>
        <v>46568</v>
      </c>
      <c r="F557" t="str">
        <f t="shared" si="134"/>
        <v>ordinario_s_mi</v>
      </c>
      <c r="G557" s="15" t="str">
        <f t="shared" si="135"/>
        <v>"30/06/2027": "ordinario_s_mi",</v>
      </c>
      <c r="H557" t="str">
        <f t="shared" si="136"/>
        <v/>
      </c>
    </row>
    <row r="558" spans="1:8">
      <c r="A558">
        <f t="shared" si="131"/>
        <v>2027</v>
      </c>
      <c r="B558" t="str">
        <f t="shared" si="132"/>
        <v>ju</v>
      </c>
      <c r="D558" t="s">
        <v>1496</v>
      </c>
      <c r="E558" s="14">
        <f t="shared" si="133"/>
        <v>46569</v>
      </c>
      <c r="F558" t="str">
        <f t="shared" si="134"/>
        <v>ordinario_s_ju</v>
      </c>
      <c r="G558" s="15" t="str">
        <f t="shared" si="135"/>
        <v>"01/07/2027": "ordinario_s_ju",</v>
      </c>
      <c r="H558" t="str">
        <f t="shared" si="136"/>
        <v/>
      </c>
    </row>
    <row r="559" spans="1:8">
      <c r="A559">
        <f t="shared" si="131"/>
        <v>2027</v>
      </c>
      <c r="B559" t="str">
        <f t="shared" si="132"/>
        <v>vi</v>
      </c>
      <c r="D559" t="s">
        <v>1496</v>
      </c>
      <c r="E559" s="14">
        <f t="shared" si="133"/>
        <v>46570</v>
      </c>
      <c r="F559" t="str">
        <f t="shared" si="134"/>
        <v>ordinario_s_vi</v>
      </c>
      <c r="G559" s="15" t="str">
        <f t="shared" si="135"/>
        <v>"02/07/2027": "ordinario_s_vi",</v>
      </c>
      <c r="H559" t="str">
        <f t="shared" si="136"/>
        <v/>
      </c>
    </row>
    <row r="560" spans="1:8">
      <c r="A560">
        <f t="shared" si="131"/>
        <v>2027</v>
      </c>
      <c r="B560" t="str">
        <f t="shared" si="132"/>
        <v>sa</v>
      </c>
      <c r="D560" t="s">
        <v>1496</v>
      </c>
      <c r="E560" s="14">
        <f t="shared" si="133"/>
        <v>46571</v>
      </c>
      <c r="F560" t="str">
        <f t="shared" si="134"/>
        <v>ordinario_s_sa</v>
      </c>
      <c r="G560" s="15" t="str">
        <f t="shared" si="135"/>
        <v>"03/07/2027": "ordinario_s_sa",</v>
      </c>
      <c r="H560" t="str">
        <f t="shared" si="136"/>
        <v/>
      </c>
    </row>
    <row r="561" spans="1:8">
      <c r="A561">
        <f t="shared" si="131"/>
        <v>2027</v>
      </c>
      <c r="B561" t="str">
        <f t="shared" si="132"/>
        <v>do</v>
      </c>
      <c r="D561" t="s">
        <v>1496</v>
      </c>
      <c r="E561" s="14">
        <f t="shared" si="133"/>
        <v>46572</v>
      </c>
      <c r="F561" t="str">
        <f t="shared" si="134"/>
        <v>ordinario_s_do</v>
      </c>
      <c r="G561" s="15" t="str">
        <f t="shared" si="135"/>
        <v>"04/07/2027": "ordinario_s_do",</v>
      </c>
      <c r="H561" t="str">
        <f t="shared" si="136"/>
        <v xml:space="preserve">// TIEMPO ORDINARIO SEMANA </v>
      </c>
    </row>
    <row r="562" spans="1:8">
      <c r="A562">
        <f t="shared" si="131"/>
        <v>2027</v>
      </c>
      <c r="B562" t="str">
        <f t="shared" si="132"/>
        <v>lu</v>
      </c>
      <c r="D562" t="s">
        <v>1496</v>
      </c>
      <c r="E562" s="14">
        <f t="shared" si="133"/>
        <v>46573</v>
      </c>
      <c r="F562" t="str">
        <f t="shared" si="134"/>
        <v>ordinario_s_lu</v>
      </c>
      <c r="G562" s="15" t="str">
        <f t="shared" si="135"/>
        <v>"05/07/2027": "ordinario_s_lu",</v>
      </c>
      <c r="H562" t="str">
        <f t="shared" si="136"/>
        <v/>
      </c>
    </row>
    <row r="563" spans="1:8">
      <c r="A563">
        <f t="shared" si="131"/>
        <v>2027</v>
      </c>
      <c r="B563" t="str">
        <f t="shared" si="132"/>
        <v>ma</v>
      </c>
      <c r="D563" t="s">
        <v>1496</v>
      </c>
      <c r="E563" s="14">
        <f t="shared" si="133"/>
        <v>46574</v>
      </c>
      <c r="F563" t="str">
        <f t="shared" si="134"/>
        <v>ordinario_s_ma</v>
      </c>
      <c r="G563" s="15" t="str">
        <f t="shared" si="135"/>
        <v>"06/07/2027": "ordinario_s_ma",</v>
      </c>
      <c r="H563" t="str">
        <f t="shared" si="136"/>
        <v/>
      </c>
    </row>
    <row r="564" spans="1:8">
      <c r="A564">
        <f t="shared" si="131"/>
        <v>2027</v>
      </c>
      <c r="B564" t="str">
        <f t="shared" si="132"/>
        <v>mi</v>
      </c>
      <c r="D564" t="s">
        <v>1496</v>
      </c>
      <c r="E564" s="14">
        <f t="shared" si="133"/>
        <v>46575</v>
      </c>
      <c r="F564" t="str">
        <f t="shared" si="134"/>
        <v>ordinario_s_mi</v>
      </c>
      <c r="G564" s="15" t="str">
        <f t="shared" si="135"/>
        <v>"07/07/2027": "ordinario_s_mi",</v>
      </c>
      <c r="H564" t="str">
        <f t="shared" si="136"/>
        <v/>
      </c>
    </row>
    <row r="565" spans="1:8">
      <c r="A565">
        <f t="shared" si="131"/>
        <v>2027</v>
      </c>
      <c r="B565" t="str">
        <f t="shared" si="132"/>
        <v>ju</v>
      </c>
      <c r="D565" t="s">
        <v>1496</v>
      </c>
      <c r="E565" s="14">
        <f t="shared" si="133"/>
        <v>46576</v>
      </c>
      <c r="F565" t="str">
        <f t="shared" si="134"/>
        <v>ordinario_s_ju</v>
      </c>
      <c r="G565" s="15" t="str">
        <f t="shared" si="135"/>
        <v>"08/07/2027": "ordinario_s_ju",</v>
      </c>
      <c r="H565" t="str">
        <f t="shared" si="136"/>
        <v/>
      </c>
    </row>
    <row r="566" spans="1:8">
      <c r="A566">
        <f t="shared" si="131"/>
        <v>2027</v>
      </c>
      <c r="B566" t="str">
        <f t="shared" si="132"/>
        <v>vi</v>
      </c>
      <c r="D566" t="s">
        <v>1496</v>
      </c>
      <c r="E566" s="14">
        <f t="shared" si="133"/>
        <v>46577</v>
      </c>
      <c r="F566" t="str">
        <f t="shared" si="134"/>
        <v>ordinario_s_vi</v>
      </c>
      <c r="G566" s="15" t="str">
        <f t="shared" si="135"/>
        <v>"09/07/2027": "ordinario_s_vi",</v>
      </c>
      <c r="H566" t="str">
        <f t="shared" si="136"/>
        <v/>
      </c>
    </row>
    <row r="567" spans="1:8">
      <c r="A567">
        <f t="shared" si="131"/>
        <v>2027</v>
      </c>
      <c r="B567" t="str">
        <f t="shared" si="132"/>
        <v>sa</v>
      </c>
      <c r="D567" t="s">
        <v>1496</v>
      </c>
      <c r="E567" s="14">
        <f t="shared" si="133"/>
        <v>46578</v>
      </c>
      <c r="F567" t="str">
        <f t="shared" si="134"/>
        <v>ordinario_s_sa</v>
      </c>
      <c r="G567" s="15" t="str">
        <f t="shared" si="135"/>
        <v>"10/07/2027": "ordinario_s_sa",</v>
      </c>
      <c r="H567" t="str">
        <f t="shared" si="136"/>
        <v/>
      </c>
    </row>
    <row r="568" spans="1:8">
      <c r="A568">
        <f t="shared" si="131"/>
        <v>2027</v>
      </c>
      <c r="B568" t="str">
        <f t="shared" si="132"/>
        <v>do</v>
      </c>
      <c r="D568" t="s">
        <v>1496</v>
      </c>
      <c r="E568" s="14">
        <f t="shared" si="133"/>
        <v>46579</v>
      </c>
      <c r="F568" t="str">
        <f t="shared" si="134"/>
        <v>ordinario_s_do</v>
      </c>
      <c r="G568" s="15" t="str">
        <f t="shared" si="135"/>
        <v>"11/07/2027": "ordinario_s_do",</v>
      </c>
      <c r="H568" t="str">
        <f t="shared" si="136"/>
        <v xml:space="preserve">// TIEMPO ORDINARIO SEMANA </v>
      </c>
    </row>
    <row r="569" spans="1:8">
      <c r="A569">
        <f t="shared" si="131"/>
        <v>2027</v>
      </c>
      <c r="B569" t="str">
        <f t="shared" si="132"/>
        <v>lu</v>
      </c>
      <c r="D569" t="s">
        <v>1496</v>
      </c>
      <c r="E569" s="14">
        <f t="shared" si="133"/>
        <v>46580</v>
      </c>
      <c r="F569" t="str">
        <f t="shared" si="134"/>
        <v>ordinario_s_lu</v>
      </c>
      <c r="G569" s="15" t="str">
        <f t="shared" si="135"/>
        <v>"12/07/2027": "ordinario_s_lu",</v>
      </c>
      <c r="H569" t="str">
        <f t="shared" si="136"/>
        <v/>
      </c>
    </row>
    <row r="570" spans="1:8">
      <c r="A570">
        <f t="shared" si="131"/>
        <v>2027</v>
      </c>
      <c r="B570" t="str">
        <f t="shared" si="132"/>
        <v>ma</v>
      </c>
      <c r="D570" t="s">
        <v>1496</v>
      </c>
      <c r="E570" s="14">
        <f t="shared" si="133"/>
        <v>46581</v>
      </c>
      <c r="F570" t="str">
        <f t="shared" si="134"/>
        <v>ordinario_s_ma</v>
      </c>
      <c r="G570" s="15" t="str">
        <f t="shared" si="135"/>
        <v>"13/07/2027": "ordinario_s_ma",</v>
      </c>
      <c r="H570" t="str">
        <f t="shared" si="136"/>
        <v/>
      </c>
    </row>
    <row r="571" spans="1:8">
      <c r="A571">
        <f t="shared" si="131"/>
        <v>2027</v>
      </c>
      <c r="B571" t="str">
        <f t="shared" si="132"/>
        <v>mi</v>
      </c>
      <c r="D571" t="s">
        <v>1496</v>
      </c>
      <c r="E571" s="14">
        <f t="shared" si="133"/>
        <v>46582</v>
      </c>
      <c r="F571" t="str">
        <f t="shared" si="134"/>
        <v>ordinario_s_mi</v>
      </c>
      <c r="G571" s="15" t="str">
        <f t="shared" si="135"/>
        <v>"14/07/2027": "ordinario_s_mi",</v>
      </c>
      <c r="H571" t="str">
        <f t="shared" si="136"/>
        <v/>
      </c>
    </row>
    <row r="572" spans="1:8">
      <c r="A572">
        <f t="shared" si="131"/>
        <v>2027</v>
      </c>
      <c r="B572" t="str">
        <f t="shared" si="132"/>
        <v>ju</v>
      </c>
      <c r="D572" t="s">
        <v>1496</v>
      </c>
      <c r="E572" s="14">
        <f t="shared" si="133"/>
        <v>46583</v>
      </c>
      <c r="F572" t="str">
        <f t="shared" si="134"/>
        <v>ordinario_s_ju</v>
      </c>
      <c r="G572" s="15" t="str">
        <f t="shared" si="135"/>
        <v>"15/07/2027": "ordinario_s_ju",</v>
      </c>
      <c r="H572" t="str">
        <f t="shared" si="136"/>
        <v/>
      </c>
    </row>
    <row r="573" spans="1:8">
      <c r="A573">
        <f t="shared" si="131"/>
        <v>2027</v>
      </c>
      <c r="B573" t="str">
        <f t="shared" si="132"/>
        <v>vi</v>
      </c>
      <c r="D573" t="s">
        <v>1496</v>
      </c>
      <c r="E573" s="14">
        <f t="shared" si="133"/>
        <v>46584</v>
      </c>
      <c r="F573" t="str">
        <f t="shared" si="134"/>
        <v>ordinario_s_vi</v>
      </c>
      <c r="G573" s="15" t="str">
        <f t="shared" si="135"/>
        <v>"16/07/2027": "ordinario_s_vi",</v>
      </c>
      <c r="H573" t="str">
        <f t="shared" si="136"/>
        <v/>
      </c>
    </row>
    <row r="574" spans="1:8">
      <c r="A574">
        <f t="shared" si="131"/>
        <v>2027</v>
      </c>
      <c r="B574" t="str">
        <f t="shared" si="132"/>
        <v>sa</v>
      </c>
      <c r="D574" t="s">
        <v>1496</v>
      </c>
      <c r="E574" s="14">
        <f t="shared" si="133"/>
        <v>46585</v>
      </c>
      <c r="F574" t="str">
        <f t="shared" si="134"/>
        <v>ordinario_s_sa</v>
      </c>
      <c r="G574" s="15" t="str">
        <f t="shared" si="135"/>
        <v>"17/07/2027": "ordinario_s_sa",</v>
      </c>
      <c r="H574" t="str">
        <f t="shared" si="136"/>
        <v/>
      </c>
    </row>
    <row r="575" spans="1:8">
      <c r="A575">
        <f t="shared" si="131"/>
        <v>2027</v>
      </c>
      <c r="B575" t="str">
        <f t="shared" si="132"/>
        <v>do</v>
      </c>
      <c r="D575" t="s">
        <v>1496</v>
      </c>
      <c r="E575" s="14">
        <f t="shared" si="133"/>
        <v>46586</v>
      </c>
      <c r="F575" t="str">
        <f t="shared" si="134"/>
        <v>ordinario_s_do</v>
      </c>
      <c r="G575" s="15" t="str">
        <f t="shared" si="135"/>
        <v>"18/07/2027": "ordinario_s_do",</v>
      </c>
      <c r="H575" t="str">
        <f t="shared" si="136"/>
        <v xml:space="preserve">// TIEMPO ORDINARIO SEMANA </v>
      </c>
    </row>
    <row r="576" spans="1:8">
      <c r="A576">
        <f t="shared" si="131"/>
        <v>2027</v>
      </c>
      <c r="B576" t="str">
        <f t="shared" si="132"/>
        <v>lu</v>
      </c>
      <c r="D576" t="s">
        <v>1496</v>
      </c>
      <c r="E576" s="14">
        <f t="shared" si="133"/>
        <v>46587</v>
      </c>
      <c r="F576" t="str">
        <f t="shared" si="134"/>
        <v>ordinario_s_lu</v>
      </c>
      <c r="G576" s="15" t="str">
        <f t="shared" si="135"/>
        <v>"19/07/2027": "ordinario_s_lu",</v>
      </c>
      <c r="H576" t="str">
        <f t="shared" si="136"/>
        <v/>
      </c>
    </row>
    <row r="577" spans="1:8">
      <c r="A577">
        <f t="shared" si="131"/>
        <v>2027</v>
      </c>
      <c r="B577" t="str">
        <f t="shared" si="132"/>
        <v>ma</v>
      </c>
      <c r="D577" t="s">
        <v>1496</v>
      </c>
      <c r="E577" s="14">
        <f t="shared" si="133"/>
        <v>46588</v>
      </c>
      <c r="F577" t="str">
        <f t="shared" si="134"/>
        <v>ordinario_s_ma</v>
      </c>
      <c r="G577" s="15" t="str">
        <f t="shared" si="135"/>
        <v>"20/07/2027": "ordinario_s_ma",</v>
      </c>
      <c r="H577" t="str">
        <f t="shared" si="136"/>
        <v/>
      </c>
    </row>
    <row r="578" spans="1:8">
      <c r="A578">
        <f t="shared" si="131"/>
        <v>2027</v>
      </c>
      <c r="B578" t="str">
        <f t="shared" si="132"/>
        <v>mi</v>
      </c>
      <c r="D578" t="s">
        <v>1496</v>
      </c>
      <c r="E578" s="14">
        <f t="shared" si="133"/>
        <v>46589</v>
      </c>
      <c r="F578" t="str">
        <f t="shared" si="134"/>
        <v>ordinario_s_mi</v>
      </c>
      <c r="G578" s="15" t="str">
        <f t="shared" si="135"/>
        <v>"21/07/2027": "ordinario_s_mi",</v>
      </c>
      <c r="H578" t="str">
        <f t="shared" si="136"/>
        <v/>
      </c>
    </row>
    <row r="579" spans="1:8">
      <c r="A579">
        <f t="shared" si="131"/>
        <v>2027</v>
      </c>
      <c r="B579" t="str">
        <f t="shared" si="132"/>
        <v>ju</v>
      </c>
      <c r="D579" t="s">
        <v>1496</v>
      </c>
      <c r="E579" s="14">
        <f t="shared" si="133"/>
        <v>46590</v>
      </c>
      <c r="F579" t="str">
        <f t="shared" si="134"/>
        <v>ordinario_s_ju</v>
      </c>
      <c r="G579" s="15" t="str">
        <f t="shared" si="135"/>
        <v>"22/07/2027": "ordinario_s_ju",</v>
      </c>
      <c r="H579" t="str">
        <f t="shared" si="136"/>
        <v/>
      </c>
    </row>
    <row r="580" spans="1:8">
      <c r="A580">
        <f t="shared" si="131"/>
        <v>2027</v>
      </c>
      <c r="B580" t="str">
        <f t="shared" si="132"/>
        <v>vi</v>
      </c>
      <c r="D580" t="s">
        <v>1496</v>
      </c>
      <c r="E580" s="14">
        <f t="shared" si="133"/>
        <v>46591</v>
      </c>
      <c r="F580" t="str">
        <f t="shared" si="134"/>
        <v>ordinario_s_vi</v>
      </c>
      <c r="G580" s="15" t="str">
        <f t="shared" si="135"/>
        <v>"23/07/2027": "ordinario_s_vi",</v>
      </c>
      <c r="H580" t="str">
        <f t="shared" si="136"/>
        <v/>
      </c>
    </row>
    <row r="581" spans="1:8">
      <c r="A581">
        <f t="shared" si="131"/>
        <v>2027</v>
      </c>
      <c r="B581" t="str">
        <f t="shared" si="132"/>
        <v>sa</v>
      </c>
      <c r="D581" t="s">
        <v>1496</v>
      </c>
      <c r="E581" s="14">
        <f t="shared" si="133"/>
        <v>46592</v>
      </c>
      <c r="F581" t="str">
        <f t="shared" si="134"/>
        <v>ordinario_s_sa</v>
      </c>
      <c r="G581" s="15" t="str">
        <f t="shared" si="135"/>
        <v>"24/07/2027": "ordinario_s_sa",</v>
      </c>
      <c r="H581" t="str">
        <f t="shared" si="136"/>
        <v/>
      </c>
    </row>
    <row r="582" spans="1:8">
      <c r="A582">
        <f t="shared" si="131"/>
        <v>2027</v>
      </c>
      <c r="B582" t="str">
        <f t="shared" si="132"/>
        <v>do</v>
      </c>
      <c r="D582" t="s">
        <v>1496</v>
      </c>
      <c r="E582" s="14">
        <f t="shared" si="133"/>
        <v>46593</v>
      </c>
      <c r="F582" t="str">
        <f t="shared" si="134"/>
        <v>ordinario_s_do</v>
      </c>
      <c r="G582" s="15" t="str">
        <f t="shared" si="135"/>
        <v>"25/07/2027": "ordinario_s_do",</v>
      </c>
      <c r="H582" t="str">
        <f t="shared" si="136"/>
        <v xml:space="preserve">// TIEMPO ORDINARIO SEMANA </v>
      </c>
    </row>
    <row r="583" spans="1:8">
      <c r="A583">
        <f t="shared" si="131"/>
        <v>2027</v>
      </c>
      <c r="B583" t="str">
        <f t="shared" si="132"/>
        <v>lu</v>
      </c>
      <c r="D583" t="s">
        <v>1496</v>
      </c>
      <c r="E583" s="14">
        <f t="shared" si="133"/>
        <v>46594</v>
      </c>
      <c r="F583" t="str">
        <f t="shared" si="134"/>
        <v>ordinario_s_lu</v>
      </c>
      <c r="G583" s="15" t="str">
        <f t="shared" si="135"/>
        <v>"26/07/2027": "ordinario_s_lu",</v>
      </c>
      <c r="H583" t="str">
        <f t="shared" si="136"/>
        <v/>
      </c>
    </row>
    <row r="584" spans="1:8">
      <c r="A584">
        <f t="shared" si="131"/>
        <v>2027</v>
      </c>
      <c r="B584" t="str">
        <f t="shared" si="132"/>
        <v>ma</v>
      </c>
      <c r="D584" t="s">
        <v>1496</v>
      </c>
      <c r="E584" s="14">
        <f t="shared" si="133"/>
        <v>46595</v>
      </c>
      <c r="F584" t="str">
        <f t="shared" si="134"/>
        <v>ordinario_s_ma</v>
      </c>
      <c r="G584" s="15" t="str">
        <f t="shared" si="135"/>
        <v>"27/07/2027": "ordinario_s_ma",</v>
      </c>
      <c r="H584" t="str">
        <f t="shared" si="136"/>
        <v/>
      </c>
    </row>
    <row r="585" spans="1:8">
      <c r="A585">
        <f t="shared" si="131"/>
        <v>2027</v>
      </c>
      <c r="B585" t="str">
        <f t="shared" si="132"/>
        <v>mi</v>
      </c>
      <c r="D585" t="s">
        <v>1496</v>
      </c>
      <c r="E585" s="14">
        <f t="shared" si="133"/>
        <v>46596</v>
      </c>
      <c r="F585" t="str">
        <f t="shared" si="134"/>
        <v>ordinario_s_mi</v>
      </c>
      <c r="G585" s="15" t="str">
        <f t="shared" si="135"/>
        <v>"28/07/2027": "ordinario_s_mi",</v>
      </c>
      <c r="H585" t="str">
        <f t="shared" si="136"/>
        <v/>
      </c>
    </row>
    <row r="586" spans="1:8">
      <c r="A586">
        <f t="shared" si="131"/>
        <v>2027</v>
      </c>
      <c r="B586" t="str">
        <f t="shared" si="132"/>
        <v>ju</v>
      </c>
      <c r="D586" t="s">
        <v>1496</v>
      </c>
      <c r="E586" s="14">
        <f t="shared" si="133"/>
        <v>46597</v>
      </c>
      <c r="F586" t="str">
        <f t="shared" si="134"/>
        <v>ordinario_s_ju</v>
      </c>
      <c r="G586" s="15" t="str">
        <f t="shared" si="135"/>
        <v>"29/07/2027": "ordinario_s_ju",</v>
      </c>
      <c r="H586" t="str">
        <f t="shared" si="136"/>
        <v/>
      </c>
    </row>
    <row r="587" spans="1:8">
      <c r="A587">
        <f t="shared" si="131"/>
        <v>2027</v>
      </c>
      <c r="B587" t="str">
        <f t="shared" si="132"/>
        <v>vi</v>
      </c>
      <c r="D587" t="s">
        <v>1496</v>
      </c>
      <c r="E587" s="14">
        <f t="shared" si="133"/>
        <v>46598</v>
      </c>
      <c r="F587" t="str">
        <f t="shared" si="134"/>
        <v>ordinario_s_vi</v>
      </c>
      <c r="G587" s="15" t="str">
        <f t="shared" si="135"/>
        <v>"30/07/2027": "ordinario_s_vi",</v>
      </c>
      <c r="H587" t="str">
        <f t="shared" si="136"/>
        <v/>
      </c>
    </row>
    <row r="588" spans="1:8">
      <c r="A588">
        <f t="shared" si="131"/>
        <v>2027</v>
      </c>
      <c r="B588" t="str">
        <f t="shared" si="132"/>
        <v>sa</v>
      </c>
      <c r="D588" t="s">
        <v>1496</v>
      </c>
      <c r="E588" s="14">
        <f t="shared" si="133"/>
        <v>46599</v>
      </c>
      <c r="F588" t="str">
        <f t="shared" si="134"/>
        <v>ordinario_s_sa</v>
      </c>
      <c r="G588" s="15" t="str">
        <f t="shared" si="135"/>
        <v>"31/07/2027": "ordinario_s_sa",</v>
      </c>
      <c r="H588" t="str">
        <f t="shared" si="136"/>
        <v/>
      </c>
    </row>
    <row r="589" spans="1:8">
      <c r="A589">
        <f t="shared" si="131"/>
        <v>2027</v>
      </c>
      <c r="B589" t="str">
        <f t="shared" si="132"/>
        <v>do</v>
      </c>
      <c r="D589" t="s">
        <v>1496</v>
      </c>
      <c r="E589" s="14">
        <f t="shared" si="133"/>
        <v>46600</v>
      </c>
      <c r="F589" t="str">
        <f t="shared" si="134"/>
        <v>ordinario_s_do</v>
      </c>
      <c r="G589" s="15" t="str">
        <f t="shared" si="135"/>
        <v>"01/08/2027": "ordinario_s_do",</v>
      </c>
      <c r="H589" t="str">
        <f t="shared" si="136"/>
        <v xml:space="preserve">// TIEMPO ORDINARIO SEMANA </v>
      </c>
    </row>
    <row r="590" spans="1:8">
      <c r="A590">
        <f t="shared" si="131"/>
        <v>2027</v>
      </c>
      <c r="B590" t="str">
        <f t="shared" si="132"/>
        <v>lu</v>
      </c>
      <c r="D590" t="s">
        <v>1496</v>
      </c>
      <c r="E590" s="14">
        <f t="shared" si="133"/>
        <v>46601</v>
      </c>
      <c r="F590" t="str">
        <f t="shared" si="134"/>
        <v>ordinario_s_lu</v>
      </c>
      <c r="G590" s="15" t="str">
        <f t="shared" si="135"/>
        <v>"02/08/2027": "ordinario_s_lu",</v>
      </c>
      <c r="H590" t="str">
        <f t="shared" si="136"/>
        <v/>
      </c>
    </row>
    <row r="591" spans="1:8">
      <c r="A591">
        <f t="shared" si="131"/>
        <v>2027</v>
      </c>
      <c r="B591" t="str">
        <f t="shared" si="132"/>
        <v>ma</v>
      </c>
      <c r="D591" t="s">
        <v>1496</v>
      </c>
      <c r="E591" s="14">
        <f t="shared" si="133"/>
        <v>46602</v>
      </c>
      <c r="F591" t="str">
        <f t="shared" si="134"/>
        <v>ordinario_s_ma</v>
      </c>
      <c r="G591" s="15" t="str">
        <f t="shared" si="135"/>
        <v>"03/08/2027": "ordinario_s_ma",</v>
      </c>
      <c r="H591" t="str">
        <f t="shared" si="136"/>
        <v/>
      </c>
    </row>
    <row r="592" spans="1:8">
      <c r="A592">
        <f t="shared" si="131"/>
        <v>2027</v>
      </c>
      <c r="B592" t="str">
        <f t="shared" si="132"/>
        <v>mi</v>
      </c>
      <c r="D592" t="s">
        <v>1496</v>
      </c>
      <c r="E592" s="14">
        <f t="shared" si="133"/>
        <v>46603</v>
      </c>
      <c r="F592" t="str">
        <f t="shared" si="134"/>
        <v>ordinario_s_mi</v>
      </c>
      <c r="G592" s="15" t="str">
        <f t="shared" si="135"/>
        <v>"04/08/2027": "ordinario_s_mi",</v>
      </c>
      <c r="H592" t="str">
        <f t="shared" si="136"/>
        <v/>
      </c>
    </row>
    <row r="593" spans="1:8">
      <c r="A593">
        <f t="shared" si="131"/>
        <v>2027</v>
      </c>
      <c r="B593" t="str">
        <f t="shared" si="132"/>
        <v>ju</v>
      </c>
      <c r="D593" t="s">
        <v>1496</v>
      </c>
      <c r="E593" s="14">
        <f t="shared" si="133"/>
        <v>46604</v>
      </c>
      <c r="F593" t="str">
        <f t="shared" si="134"/>
        <v>ordinario_s_ju</v>
      </c>
      <c r="G593" s="15" t="str">
        <f t="shared" si="135"/>
        <v>"05/08/2027": "ordinario_s_ju",</v>
      </c>
      <c r="H593" t="str">
        <f t="shared" si="136"/>
        <v/>
      </c>
    </row>
    <row r="594" spans="1:8">
      <c r="A594">
        <f t="shared" si="131"/>
        <v>2027</v>
      </c>
      <c r="B594" t="str">
        <f t="shared" si="132"/>
        <v>vi</v>
      </c>
      <c r="D594" t="s">
        <v>1496</v>
      </c>
      <c r="E594" s="14">
        <f t="shared" si="133"/>
        <v>46605</v>
      </c>
      <c r="F594" t="str">
        <f t="shared" si="134"/>
        <v>ordinario_s_vi</v>
      </c>
      <c r="G594" s="15" t="str">
        <f t="shared" si="135"/>
        <v>"06/08/2027": "ordinario_s_vi",</v>
      </c>
      <c r="H594" t="str">
        <f t="shared" si="136"/>
        <v/>
      </c>
    </row>
    <row r="595" spans="1:8">
      <c r="A595">
        <f t="shared" si="131"/>
        <v>2027</v>
      </c>
      <c r="B595" t="str">
        <f t="shared" si="132"/>
        <v>sa</v>
      </c>
      <c r="D595" t="s">
        <v>1496</v>
      </c>
      <c r="E595" s="14">
        <f t="shared" si="133"/>
        <v>46606</v>
      </c>
      <c r="F595" t="str">
        <f t="shared" si="134"/>
        <v>ordinario_s_sa</v>
      </c>
      <c r="G595" s="15" t="str">
        <f t="shared" si="135"/>
        <v>"07/08/2027": "ordinario_s_sa",</v>
      </c>
      <c r="H595" t="str">
        <f t="shared" si="136"/>
        <v/>
      </c>
    </row>
    <row r="596" spans="1:8">
      <c r="A596">
        <f t="shared" si="131"/>
        <v>2027</v>
      </c>
      <c r="B596" t="str">
        <f t="shared" si="132"/>
        <v>do</v>
      </c>
      <c r="D596" t="s">
        <v>1496</v>
      </c>
      <c r="E596" s="14">
        <f t="shared" si="133"/>
        <v>46607</v>
      </c>
      <c r="F596" t="str">
        <f t="shared" si="134"/>
        <v>ordinario_s_do</v>
      </c>
      <c r="G596" s="15" t="str">
        <f t="shared" si="135"/>
        <v>"08/08/2027": "ordinario_s_do",</v>
      </c>
      <c r="H596" t="str">
        <f t="shared" si="136"/>
        <v xml:space="preserve">// TIEMPO ORDINARIO SEMANA </v>
      </c>
    </row>
    <row r="597" spans="1:8">
      <c r="A597">
        <f t="shared" si="131"/>
        <v>2027</v>
      </c>
      <c r="B597" t="str">
        <f t="shared" si="132"/>
        <v>lu</v>
      </c>
      <c r="D597" t="s">
        <v>1496</v>
      </c>
      <c r="E597" s="14">
        <f t="shared" si="133"/>
        <v>46608</v>
      </c>
      <c r="F597" t="str">
        <f t="shared" si="134"/>
        <v>ordinario_s_lu</v>
      </c>
      <c r="G597" s="15" t="str">
        <f t="shared" si="135"/>
        <v>"09/08/2027": "ordinario_s_lu",</v>
      </c>
      <c r="H597" t="str">
        <f t="shared" si="136"/>
        <v/>
      </c>
    </row>
    <row r="598" spans="1:8">
      <c r="A598">
        <f t="shared" si="131"/>
        <v>2027</v>
      </c>
      <c r="B598" t="str">
        <f t="shared" si="132"/>
        <v>ma</v>
      </c>
      <c r="D598" t="s">
        <v>1496</v>
      </c>
      <c r="E598" s="14">
        <f t="shared" si="133"/>
        <v>46609</v>
      </c>
      <c r="F598" t="str">
        <f t="shared" si="134"/>
        <v>ordinario_s_ma</v>
      </c>
      <c r="G598" s="15" t="str">
        <f t="shared" si="135"/>
        <v>"10/08/2027": "ordinario_s_ma",</v>
      </c>
      <c r="H598" t="str">
        <f t="shared" si="136"/>
        <v/>
      </c>
    </row>
    <row r="599" spans="1:8">
      <c r="A599">
        <f t="shared" si="131"/>
        <v>2027</v>
      </c>
      <c r="B599" t="str">
        <f t="shared" si="132"/>
        <v>mi</v>
      </c>
      <c r="D599" t="s">
        <v>1496</v>
      </c>
      <c r="E599" s="14">
        <f t="shared" si="133"/>
        <v>46610</v>
      </c>
      <c r="F599" t="str">
        <f t="shared" si="134"/>
        <v>ordinario_s_mi</v>
      </c>
      <c r="G599" s="15" t="str">
        <f t="shared" si="135"/>
        <v>"11/08/2027": "ordinario_s_mi",</v>
      </c>
      <c r="H599" t="str">
        <f t="shared" si="136"/>
        <v/>
      </c>
    </row>
    <row r="600" spans="1:8">
      <c r="A600">
        <f t="shared" si="131"/>
        <v>2027</v>
      </c>
      <c r="B600" t="str">
        <f t="shared" si="132"/>
        <v>ju</v>
      </c>
      <c r="D600" t="s">
        <v>1496</v>
      </c>
      <c r="E600" s="14">
        <f t="shared" si="133"/>
        <v>46611</v>
      </c>
      <c r="F600" t="str">
        <f t="shared" si="134"/>
        <v>ordinario_s_ju</v>
      </c>
      <c r="G600" s="15" t="str">
        <f t="shared" si="135"/>
        <v>"12/08/2027": "ordinario_s_ju",</v>
      </c>
      <c r="H600" t="str">
        <f t="shared" si="136"/>
        <v/>
      </c>
    </row>
    <row r="601" spans="1:8">
      <c r="A601">
        <f t="shared" si="131"/>
        <v>2027</v>
      </c>
      <c r="B601" t="str">
        <f t="shared" si="132"/>
        <v>vi</v>
      </c>
      <c r="D601" t="s">
        <v>1496</v>
      </c>
      <c r="E601" s="14">
        <f t="shared" si="133"/>
        <v>46612</v>
      </c>
      <c r="F601" t="str">
        <f t="shared" si="134"/>
        <v>ordinario_s_vi</v>
      </c>
      <c r="G601" s="15" t="str">
        <f t="shared" si="135"/>
        <v>"13/08/2027": "ordinario_s_vi",</v>
      </c>
      <c r="H601" t="str">
        <f t="shared" si="136"/>
        <v/>
      </c>
    </row>
    <row r="602" spans="1:8">
      <c r="A602">
        <f t="shared" si="131"/>
        <v>2027</v>
      </c>
      <c r="B602" t="str">
        <f t="shared" si="132"/>
        <v>sa</v>
      </c>
      <c r="D602" t="s">
        <v>1496</v>
      </c>
      <c r="E602" s="14">
        <f t="shared" si="133"/>
        <v>46613</v>
      </c>
      <c r="F602" t="str">
        <f t="shared" si="134"/>
        <v>ordinario_s_sa</v>
      </c>
      <c r="G602" s="15" t="str">
        <f t="shared" si="135"/>
        <v>"14/08/2027": "ordinario_s_sa",</v>
      </c>
      <c r="H602" t="str">
        <f t="shared" si="136"/>
        <v/>
      </c>
    </row>
    <row r="603" spans="1:8">
      <c r="A603">
        <f t="shared" si="131"/>
        <v>2027</v>
      </c>
      <c r="B603" t="str">
        <f t="shared" si="132"/>
        <v>do</v>
      </c>
      <c r="D603" t="s">
        <v>1496</v>
      </c>
      <c r="E603" s="14">
        <f t="shared" si="133"/>
        <v>46614</v>
      </c>
      <c r="F603" t="str">
        <f t="shared" si="134"/>
        <v>ordinario_s_do</v>
      </c>
      <c r="G603" s="15" t="str">
        <f t="shared" si="135"/>
        <v>"15/08/2027": "ordinario_s_do",</v>
      </c>
      <c r="H603" t="str">
        <f t="shared" si="136"/>
        <v xml:space="preserve">// TIEMPO ORDINARIO SEMANA </v>
      </c>
    </row>
    <row r="604" spans="1:8">
      <c r="A604">
        <f t="shared" si="131"/>
        <v>2027</v>
      </c>
      <c r="B604" t="str">
        <f t="shared" si="132"/>
        <v>lu</v>
      </c>
      <c r="D604" t="s">
        <v>1496</v>
      </c>
      <c r="E604" s="14">
        <f t="shared" si="133"/>
        <v>46615</v>
      </c>
      <c r="F604" t="str">
        <f t="shared" si="134"/>
        <v>ordinario_s_lu</v>
      </c>
      <c r="G604" s="15" t="str">
        <f t="shared" si="135"/>
        <v>"16/08/2027": "ordinario_s_lu",</v>
      </c>
      <c r="H604" t="str">
        <f t="shared" si="136"/>
        <v/>
      </c>
    </row>
    <row r="605" spans="1:8">
      <c r="A605">
        <f t="shared" si="131"/>
        <v>2027</v>
      </c>
      <c r="B605" t="str">
        <f t="shared" si="132"/>
        <v>ma</v>
      </c>
      <c r="D605" t="s">
        <v>1496</v>
      </c>
      <c r="E605" s="14">
        <f t="shared" si="133"/>
        <v>46616</v>
      </c>
      <c r="F605" t="str">
        <f t="shared" si="134"/>
        <v>ordinario_s_ma</v>
      </c>
      <c r="G605" s="15" t="str">
        <f t="shared" si="135"/>
        <v>"17/08/2027": "ordinario_s_ma",</v>
      </c>
      <c r="H605" t="str">
        <f t="shared" si="136"/>
        <v/>
      </c>
    </row>
    <row r="606" spans="1:8">
      <c r="A606">
        <f t="shared" si="131"/>
        <v>2027</v>
      </c>
      <c r="B606" t="str">
        <f t="shared" si="132"/>
        <v>mi</v>
      </c>
      <c r="D606" t="s">
        <v>1496</v>
      </c>
      <c r="E606" s="14">
        <f t="shared" si="133"/>
        <v>46617</v>
      </c>
      <c r="F606" t="str">
        <f t="shared" si="134"/>
        <v>ordinario_s_mi</v>
      </c>
      <c r="G606" s="15" t="str">
        <f t="shared" si="135"/>
        <v>"18/08/2027": "ordinario_s_mi",</v>
      </c>
      <c r="H606" t="str">
        <f t="shared" si="136"/>
        <v/>
      </c>
    </row>
    <row r="607" spans="1:8">
      <c r="A607">
        <f t="shared" si="131"/>
        <v>2027</v>
      </c>
      <c r="B607" t="str">
        <f t="shared" si="132"/>
        <v>ju</v>
      </c>
      <c r="D607" t="s">
        <v>1496</v>
      </c>
      <c r="E607" s="14">
        <f t="shared" si="133"/>
        <v>46618</v>
      </c>
      <c r="F607" t="str">
        <f t="shared" si="134"/>
        <v>ordinario_s_ju</v>
      </c>
      <c r="G607" s="15" t="str">
        <f t="shared" si="135"/>
        <v>"19/08/2027": "ordinario_s_ju",</v>
      </c>
      <c r="H607" t="str">
        <f t="shared" si="136"/>
        <v/>
      </c>
    </row>
    <row r="608" spans="1:8">
      <c r="A608">
        <f t="shared" si="131"/>
        <v>2027</v>
      </c>
      <c r="B608" t="str">
        <f t="shared" si="132"/>
        <v>vi</v>
      </c>
      <c r="D608" t="s">
        <v>1496</v>
      </c>
      <c r="E608" s="14">
        <f t="shared" si="133"/>
        <v>46619</v>
      </c>
      <c r="F608" t="str">
        <f t="shared" si="134"/>
        <v>ordinario_s_vi</v>
      </c>
      <c r="G608" s="15" t="str">
        <f t="shared" si="135"/>
        <v>"20/08/2027": "ordinario_s_vi",</v>
      </c>
      <c r="H608" t="str">
        <f t="shared" si="136"/>
        <v/>
      </c>
    </row>
    <row r="609" spans="1:8">
      <c r="A609">
        <f t="shared" ref="A609:A672" si="137">YEAR(E609)</f>
        <v>2027</v>
      </c>
      <c r="B609" t="str">
        <f t="shared" si="132"/>
        <v>sa</v>
      </c>
      <c r="D609" t="s">
        <v>1496</v>
      </c>
      <c r="E609" s="14">
        <f t="shared" si="133"/>
        <v>46620</v>
      </c>
      <c r="F609" t="str">
        <f t="shared" si="134"/>
        <v>ordinario_s_sa</v>
      </c>
      <c r="G609" s="15" t="str">
        <f t="shared" si="135"/>
        <v>"21/08/2027": "ordinario_s_sa",</v>
      </c>
      <c r="H609" t="str">
        <f t="shared" si="136"/>
        <v/>
      </c>
    </row>
    <row r="610" spans="1:8">
      <c r="A610">
        <f t="shared" si="137"/>
        <v>2027</v>
      </c>
      <c r="B610" t="str">
        <f t="shared" si="132"/>
        <v>do</v>
      </c>
      <c r="D610" t="s">
        <v>1496</v>
      </c>
      <c r="E610" s="14">
        <f t="shared" si="133"/>
        <v>46621</v>
      </c>
      <c r="F610" t="str">
        <f t="shared" si="134"/>
        <v>ordinario_s_do</v>
      </c>
      <c r="G610" s="15" t="str">
        <f t="shared" si="135"/>
        <v>"22/08/2027": "ordinario_s_do",</v>
      </c>
      <c r="H610" t="str">
        <f t="shared" si="136"/>
        <v xml:space="preserve">// TIEMPO ORDINARIO SEMANA </v>
      </c>
    </row>
    <row r="611" spans="1:8">
      <c r="A611">
        <f t="shared" si="137"/>
        <v>2027</v>
      </c>
      <c r="B611" t="str">
        <f t="shared" si="132"/>
        <v>lu</v>
      </c>
      <c r="D611" t="s">
        <v>1496</v>
      </c>
      <c r="E611" s="14">
        <f t="shared" si="133"/>
        <v>46622</v>
      </c>
      <c r="F611" t="str">
        <f t="shared" si="134"/>
        <v>ordinario_s_lu</v>
      </c>
      <c r="G611" s="15" t="str">
        <f t="shared" si="135"/>
        <v>"23/08/2027": "ordinario_s_lu",</v>
      </c>
      <c r="H611" t="str">
        <f t="shared" si="136"/>
        <v/>
      </c>
    </row>
    <row r="612" spans="1:8">
      <c r="A612">
        <f t="shared" si="137"/>
        <v>2027</v>
      </c>
      <c r="B612" t="str">
        <f t="shared" si="132"/>
        <v>ma</v>
      </c>
      <c r="D612" t="s">
        <v>1496</v>
      </c>
      <c r="E612" s="14">
        <f t="shared" si="133"/>
        <v>46623</v>
      </c>
      <c r="F612" t="str">
        <f t="shared" si="134"/>
        <v>ordinario_s_ma</v>
      </c>
      <c r="G612" s="15" t="str">
        <f t="shared" si="135"/>
        <v>"24/08/2027": "ordinario_s_ma",</v>
      </c>
      <c r="H612" t="str">
        <f t="shared" si="136"/>
        <v/>
      </c>
    </row>
    <row r="613" spans="1:8">
      <c r="A613">
        <f t="shared" si="137"/>
        <v>2027</v>
      </c>
      <c r="B613" t="str">
        <f t="shared" si="132"/>
        <v>mi</v>
      </c>
      <c r="D613" t="s">
        <v>1496</v>
      </c>
      <c r="E613" s="14">
        <f t="shared" si="133"/>
        <v>46624</v>
      </c>
      <c r="F613" t="str">
        <f t="shared" si="134"/>
        <v>ordinario_s_mi</v>
      </c>
      <c r="G613" s="15" t="str">
        <f t="shared" si="135"/>
        <v>"25/08/2027": "ordinario_s_mi",</v>
      </c>
      <c r="H613" t="str">
        <f t="shared" si="136"/>
        <v/>
      </c>
    </row>
    <row r="614" spans="1:8">
      <c r="A614">
        <f t="shared" si="137"/>
        <v>2027</v>
      </c>
      <c r="B614" t="str">
        <f t="shared" si="132"/>
        <v>ju</v>
      </c>
      <c r="D614" t="s">
        <v>1496</v>
      </c>
      <c r="E614" s="14">
        <f t="shared" si="133"/>
        <v>46625</v>
      </c>
      <c r="F614" t="str">
        <f t="shared" si="134"/>
        <v>ordinario_s_ju</v>
      </c>
      <c r="G614" s="15" t="str">
        <f t="shared" si="135"/>
        <v>"26/08/2027": "ordinario_s_ju",</v>
      </c>
      <c r="H614" t="str">
        <f t="shared" si="136"/>
        <v/>
      </c>
    </row>
    <row r="615" spans="1:8">
      <c r="A615">
        <f t="shared" si="137"/>
        <v>2027</v>
      </c>
      <c r="B615" t="str">
        <f t="shared" si="132"/>
        <v>vi</v>
      </c>
      <c r="D615" t="s">
        <v>1496</v>
      </c>
      <c r="E615" s="14">
        <f t="shared" si="133"/>
        <v>46626</v>
      </c>
      <c r="F615" t="str">
        <f t="shared" si="134"/>
        <v>ordinario_s_vi</v>
      </c>
      <c r="G615" s="15" t="str">
        <f t="shared" si="135"/>
        <v>"27/08/2027": "ordinario_s_vi",</v>
      </c>
      <c r="H615" t="str">
        <f t="shared" si="136"/>
        <v/>
      </c>
    </row>
    <row r="616" spans="1:8">
      <c r="A616">
        <f t="shared" si="137"/>
        <v>2027</v>
      </c>
      <c r="B616" t="str">
        <f t="shared" si="132"/>
        <v>sa</v>
      </c>
      <c r="D616" t="s">
        <v>1496</v>
      </c>
      <c r="E616" s="14">
        <f t="shared" si="133"/>
        <v>46627</v>
      </c>
      <c r="F616" t="str">
        <f t="shared" si="134"/>
        <v>ordinario_s_sa</v>
      </c>
      <c r="G616" s="15" t="str">
        <f t="shared" si="135"/>
        <v>"28/08/2027": "ordinario_s_sa",</v>
      </c>
      <c r="H616" t="str">
        <f t="shared" si="136"/>
        <v/>
      </c>
    </row>
    <row r="617" spans="1:8">
      <c r="A617">
        <f t="shared" si="137"/>
        <v>2027</v>
      </c>
      <c r="B617" t="str">
        <f t="shared" si="132"/>
        <v>do</v>
      </c>
      <c r="D617" t="s">
        <v>1496</v>
      </c>
      <c r="E617" s="14">
        <f t="shared" si="133"/>
        <v>46628</v>
      </c>
      <c r="F617" t="str">
        <f t="shared" si="134"/>
        <v>ordinario_s_do</v>
      </c>
      <c r="G617" s="15" t="str">
        <f t="shared" si="135"/>
        <v>"29/08/2027": "ordinario_s_do",</v>
      </c>
      <c r="H617" t="str">
        <f t="shared" si="136"/>
        <v xml:space="preserve">// TIEMPO ORDINARIO SEMANA </v>
      </c>
    </row>
    <row r="618" spans="1:8">
      <c r="A618">
        <f t="shared" si="137"/>
        <v>2027</v>
      </c>
      <c r="B618" t="str">
        <f t="shared" si="132"/>
        <v>lu</v>
      </c>
      <c r="D618" t="s">
        <v>1496</v>
      </c>
      <c r="E618" s="14">
        <f t="shared" si="133"/>
        <v>46629</v>
      </c>
      <c r="F618" t="str">
        <f t="shared" si="134"/>
        <v>ordinario_s_lu</v>
      </c>
      <c r="G618" s="15" t="str">
        <f t="shared" si="135"/>
        <v>"30/08/2027": "ordinario_s_lu",</v>
      </c>
      <c r="H618" t="str">
        <f t="shared" si="136"/>
        <v/>
      </c>
    </row>
    <row r="619" spans="1:8">
      <c r="A619">
        <f t="shared" si="137"/>
        <v>2027</v>
      </c>
      <c r="B619" t="str">
        <f t="shared" si="132"/>
        <v>ma</v>
      </c>
      <c r="D619" t="s">
        <v>1496</v>
      </c>
      <c r="E619" s="14">
        <f t="shared" si="133"/>
        <v>46630</v>
      </c>
      <c r="F619" t="str">
        <f t="shared" si="134"/>
        <v>ordinario_s_ma</v>
      </c>
      <c r="G619" s="15" t="str">
        <f t="shared" si="135"/>
        <v>"31/08/2027": "ordinario_s_ma",</v>
      </c>
      <c r="H619" t="str">
        <f t="shared" si="136"/>
        <v/>
      </c>
    </row>
    <row r="620" spans="1:8">
      <c r="A620">
        <f t="shared" si="137"/>
        <v>2027</v>
      </c>
      <c r="B620" t="str">
        <f t="shared" ref="B620:B673" si="138">CHOOSE(WEEKDAY(E620), "do", "lu", "ma", "mi", "ju", "vi", "sa")</f>
        <v>mi</v>
      </c>
      <c r="D620" t="s">
        <v>1496</v>
      </c>
      <c r="E620" s="14">
        <f t="shared" ref="E620:E673" si="139">+E619+1</f>
        <v>46631</v>
      </c>
      <c r="F620" t="str">
        <f t="shared" ref="F620:F673" si="140">_xlfn.CONCAT(D620,"_s",C620,"_",B620)</f>
        <v>ordinario_s_mi</v>
      </c>
      <c r="G620" s="15" t="str">
        <f t="shared" ref="G620:G673" si="141">"""" &amp; TEXT(E620, "dd/mm/yyyy") &amp; """: """ &amp; F620 &amp; ""","</f>
        <v>"01/09/2027": "ordinario_s_mi",</v>
      </c>
      <c r="H620" t="str">
        <f t="shared" ref="H620:H673" si="142">IF(B620="do", "// TIEMPO " &amp; UPPER(D620) &amp; " SEMANA " &amp; C620, "")</f>
        <v/>
      </c>
    </row>
    <row r="621" spans="1:8">
      <c r="A621">
        <f t="shared" si="137"/>
        <v>2027</v>
      </c>
      <c r="B621" t="str">
        <f t="shared" si="138"/>
        <v>ju</v>
      </c>
      <c r="D621" t="s">
        <v>1496</v>
      </c>
      <c r="E621" s="14">
        <f t="shared" si="139"/>
        <v>46632</v>
      </c>
      <c r="F621" t="str">
        <f t="shared" si="140"/>
        <v>ordinario_s_ju</v>
      </c>
      <c r="G621" s="15" t="str">
        <f t="shared" si="141"/>
        <v>"02/09/2027": "ordinario_s_ju",</v>
      </c>
      <c r="H621" t="str">
        <f t="shared" si="142"/>
        <v/>
      </c>
    </row>
    <row r="622" spans="1:8">
      <c r="A622">
        <f t="shared" si="137"/>
        <v>2027</v>
      </c>
      <c r="B622" t="str">
        <f t="shared" si="138"/>
        <v>vi</v>
      </c>
      <c r="D622" t="s">
        <v>1496</v>
      </c>
      <c r="E622" s="14">
        <f t="shared" si="139"/>
        <v>46633</v>
      </c>
      <c r="F622" t="str">
        <f t="shared" si="140"/>
        <v>ordinario_s_vi</v>
      </c>
      <c r="G622" s="15" t="str">
        <f t="shared" si="141"/>
        <v>"03/09/2027": "ordinario_s_vi",</v>
      </c>
      <c r="H622" t="str">
        <f t="shared" si="142"/>
        <v/>
      </c>
    </row>
    <row r="623" spans="1:8">
      <c r="A623">
        <f t="shared" si="137"/>
        <v>2027</v>
      </c>
      <c r="B623" t="str">
        <f t="shared" si="138"/>
        <v>sa</v>
      </c>
      <c r="D623" t="s">
        <v>1496</v>
      </c>
      <c r="E623" s="14">
        <f t="shared" si="139"/>
        <v>46634</v>
      </c>
      <c r="F623" t="str">
        <f t="shared" si="140"/>
        <v>ordinario_s_sa</v>
      </c>
      <c r="G623" s="15" t="str">
        <f t="shared" si="141"/>
        <v>"04/09/2027": "ordinario_s_sa",</v>
      </c>
      <c r="H623" t="str">
        <f t="shared" si="142"/>
        <v/>
      </c>
    </row>
    <row r="624" spans="1:8">
      <c r="A624">
        <f t="shared" si="137"/>
        <v>2027</v>
      </c>
      <c r="B624" t="str">
        <f t="shared" si="138"/>
        <v>do</v>
      </c>
      <c r="D624" t="s">
        <v>1496</v>
      </c>
      <c r="E624" s="14">
        <f t="shared" si="139"/>
        <v>46635</v>
      </c>
      <c r="F624" t="str">
        <f t="shared" si="140"/>
        <v>ordinario_s_do</v>
      </c>
      <c r="G624" s="15" t="str">
        <f t="shared" si="141"/>
        <v>"05/09/2027": "ordinario_s_do",</v>
      </c>
      <c r="H624" t="str">
        <f t="shared" si="142"/>
        <v xml:space="preserve">// TIEMPO ORDINARIO SEMANA </v>
      </c>
    </row>
    <row r="625" spans="1:8">
      <c r="A625">
        <f t="shared" si="137"/>
        <v>2027</v>
      </c>
      <c r="B625" t="str">
        <f t="shared" si="138"/>
        <v>lu</v>
      </c>
      <c r="D625" t="s">
        <v>1496</v>
      </c>
      <c r="E625" s="14">
        <f t="shared" si="139"/>
        <v>46636</v>
      </c>
      <c r="F625" t="str">
        <f t="shared" si="140"/>
        <v>ordinario_s_lu</v>
      </c>
      <c r="G625" s="15" t="str">
        <f t="shared" si="141"/>
        <v>"06/09/2027": "ordinario_s_lu",</v>
      </c>
      <c r="H625" t="str">
        <f t="shared" si="142"/>
        <v/>
      </c>
    </row>
    <row r="626" spans="1:8">
      <c r="A626">
        <f t="shared" si="137"/>
        <v>2027</v>
      </c>
      <c r="B626" t="str">
        <f t="shared" si="138"/>
        <v>ma</v>
      </c>
      <c r="D626" t="s">
        <v>1496</v>
      </c>
      <c r="E626" s="14">
        <f t="shared" si="139"/>
        <v>46637</v>
      </c>
      <c r="F626" t="str">
        <f t="shared" si="140"/>
        <v>ordinario_s_ma</v>
      </c>
      <c r="G626" s="15" t="str">
        <f t="shared" si="141"/>
        <v>"07/09/2027": "ordinario_s_ma",</v>
      </c>
      <c r="H626" t="str">
        <f t="shared" si="142"/>
        <v/>
      </c>
    </row>
    <row r="627" spans="1:8">
      <c r="A627">
        <f t="shared" si="137"/>
        <v>2027</v>
      </c>
      <c r="B627" t="str">
        <f t="shared" si="138"/>
        <v>mi</v>
      </c>
      <c r="D627" t="s">
        <v>1496</v>
      </c>
      <c r="E627" s="14">
        <f t="shared" si="139"/>
        <v>46638</v>
      </c>
      <c r="F627" t="str">
        <f t="shared" si="140"/>
        <v>ordinario_s_mi</v>
      </c>
      <c r="G627" s="15" t="str">
        <f t="shared" si="141"/>
        <v>"08/09/2027": "ordinario_s_mi",</v>
      </c>
      <c r="H627" t="str">
        <f t="shared" si="142"/>
        <v/>
      </c>
    </row>
    <row r="628" spans="1:8">
      <c r="A628">
        <f t="shared" si="137"/>
        <v>2027</v>
      </c>
      <c r="B628" t="str">
        <f t="shared" si="138"/>
        <v>ju</v>
      </c>
      <c r="D628" t="s">
        <v>1496</v>
      </c>
      <c r="E628" s="14">
        <f t="shared" si="139"/>
        <v>46639</v>
      </c>
      <c r="F628" t="str">
        <f t="shared" si="140"/>
        <v>ordinario_s_ju</v>
      </c>
      <c r="G628" s="15" t="str">
        <f t="shared" si="141"/>
        <v>"09/09/2027": "ordinario_s_ju",</v>
      </c>
      <c r="H628" t="str">
        <f t="shared" si="142"/>
        <v/>
      </c>
    </row>
    <row r="629" spans="1:8">
      <c r="A629">
        <f t="shared" si="137"/>
        <v>2027</v>
      </c>
      <c r="B629" t="str">
        <f t="shared" si="138"/>
        <v>vi</v>
      </c>
      <c r="D629" t="s">
        <v>1496</v>
      </c>
      <c r="E629" s="14">
        <f t="shared" si="139"/>
        <v>46640</v>
      </c>
      <c r="F629" t="str">
        <f t="shared" si="140"/>
        <v>ordinario_s_vi</v>
      </c>
      <c r="G629" s="15" t="str">
        <f t="shared" si="141"/>
        <v>"10/09/2027": "ordinario_s_vi",</v>
      </c>
      <c r="H629" t="str">
        <f t="shared" si="142"/>
        <v/>
      </c>
    </row>
    <row r="630" spans="1:8">
      <c r="A630">
        <f t="shared" si="137"/>
        <v>2027</v>
      </c>
      <c r="B630" t="str">
        <f t="shared" si="138"/>
        <v>sa</v>
      </c>
      <c r="D630" t="s">
        <v>1496</v>
      </c>
      <c r="E630" s="14">
        <f t="shared" si="139"/>
        <v>46641</v>
      </c>
      <c r="F630" t="str">
        <f t="shared" si="140"/>
        <v>ordinario_s_sa</v>
      </c>
      <c r="G630" s="15" t="str">
        <f t="shared" si="141"/>
        <v>"11/09/2027": "ordinario_s_sa",</v>
      </c>
      <c r="H630" t="str">
        <f t="shared" si="142"/>
        <v/>
      </c>
    </row>
    <row r="631" spans="1:8">
      <c r="A631">
        <f t="shared" si="137"/>
        <v>2027</v>
      </c>
      <c r="B631" t="str">
        <f t="shared" si="138"/>
        <v>do</v>
      </c>
      <c r="D631" t="s">
        <v>1496</v>
      </c>
      <c r="E631" s="14">
        <f t="shared" si="139"/>
        <v>46642</v>
      </c>
      <c r="F631" t="str">
        <f t="shared" si="140"/>
        <v>ordinario_s_do</v>
      </c>
      <c r="G631" s="15" t="str">
        <f t="shared" si="141"/>
        <v>"12/09/2027": "ordinario_s_do",</v>
      </c>
      <c r="H631" t="str">
        <f t="shared" si="142"/>
        <v xml:space="preserve">// TIEMPO ORDINARIO SEMANA </v>
      </c>
    </row>
    <row r="632" spans="1:8">
      <c r="A632">
        <f t="shared" si="137"/>
        <v>2027</v>
      </c>
      <c r="B632" t="str">
        <f t="shared" si="138"/>
        <v>lu</v>
      </c>
      <c r="D632" t="s">
        <v>1496</v>
      </c>
      <c r="E632" s="14">
        <f t="shared" si="139"/>
        <v>46643</v>
      </c>
      <c r="F632" t="str">
        <f t="shared" si="140"/>
        <v>ordinario_s_lu</v>
      </c>
      <c r="G632" s="15" t="str">
        <f t="shared" si="141"/>
        <v>"13/09/2027": "ordinario_s_lu",</v>
      </c>
      <c r="H632" t="str">
        <f t="shared" si="142"/>
        <v/>
      </c>
    </row>
    <row r="633" spans="1:8">
      <c r="A633">
        <f t="shared" si="137"/>
        <v>2027</v>
      </c>
      <c r="B633" t="str">
        <f t="shared" si="138"/>
        <v>ma</v>
      </c>
      <c r="D633" t="s">
        <v>1496</v>
      </c>
      <c r="E633" s="14">
        <f t="shared" si="139"/>
        <v>46644</v>
      </c>
      <c r="F633" t="str">
        <f t="shared" si="140"/>
        <v>ordinario_s_ma</v>
      </c>
      <c r="G633" s="15" t="str">
        <f t="shared" si="141"/>
        <v>"14/09/2027": "ordinario_s_ma",</v>
      </c>
      <c r="H633" t="str">
        <f t="shared" si="142"/>
        <v/>
      </c>
    </row>
    <row r="634" spans="1:8">
      <c r="A634">
        <f t="shared" si="137"/>
        <v>2027</v>
      </c>
      <c r="B634" t="str">
        <f t="shared" si="138"/>
        <v>mi</v>
      </c>
      <c r="D634" t="s">
        <v>1496</v>
      </c>
      <c r="E634" s="14">
        <f t="shared" si="139"/>
        <v>46645</v>
      </c>
      <c r="F634" t="str">
        <f t="shared" si="140"/>
        <v>ordinario_s_mi</v>
      </c>
      <c r="G634" s="15" t="str">
        <f t="shared" si="141"/>
        <v>"15/09/2027": "ordinario_s_mi",</v>
      </c>
      <c r="H634" t="str">
        <f t="shared" si="142"/>
        <v/>
      </c>
    </row>
    <row r="635" spans="1:8">
      <c r="A635">
        <f t="shared" si="137"/>
        <v>2027</v>
      </c>
      <c r="B635" t="str">
        <f t="shared" si="138"/>
        <v>ju</v>
      </c>
      <c r="D635" t="s">
        <v>1496</v>
      </c>
      <c r="E635" s="14">
        <f t="shared" si="139"/>
        <v>46646</v>
      </c>
      <c r="F635" t="str">
        <f t="shared" si="140"/>
        <v>ordinario_s_ju</v>
      </c>
      <c r="G635" s="15" t="str">
        <f t="shared" si="141"/>
        <v>"16/09/2027": "ordinario_s_ju",</v>
      </c>
      <c r="H635" t="str">
        <f t="shared" si="142"/>
        <v/>
      </c>
    </row>
    <row r="636" spans="1:8">
      <c r="A636">
        <f t="shared" si="137"/>
        <v>2027</v>
      </c>
      <c r="B636" t="str">
        <f t="shared" si="138"/>
        <v>vi</v>
      </c>
      <c r="D636" t="s">
        <v>1496</v>
      </c>
      <c r="E636" s="14">
        <f t="shared" si="139"/>
        <v>46647</v>
      </c>
      <c r="F636" t="str">
        <f t="shared" si="140"/>
        <v>ordinario_s_vi</v>
      </c>
      <c r="G636" s="15" t="str">
        <f t="shared" si="141"/>
        <v>"17/09/2027": "ordinario_s_vi",</v>
      </c>
      <c r="H636" t="str">
        <f t="shared" si="142"/>
        <v/>
      </c>
    </row>
    <row r="637" spans="1:8">
      <c r="A637">
        <f t="shared" si="137"/>
        <v>2027</v>
      </c>
      <c r="B637" t="str">
        <f t="shared" si="138"/>
        <v>sa</v>
      </c>
      <c r="D637" t="s">
        <v>1496</v>
      </c>
      <c r="E637" s="14">
        <f t="shared" si="139"/>
        <v>46648</v>
      </c>
      <c r="F637" t="str">
        <f t="shared" si="140"/>
        <v>ordinario_s_sa</v>
      </c>
      <c r="G637" s="15" t="str">
        <f t="shared" si="141"/>
        <v>"18/09/2027": "ordinario_s_sa",</v>
      </c>
      <c r="H637" t="str">
        <f t="shared" si="142"/>
        <v/>
      </c>
    </row>
    <row r="638" spans="1:8">
      <c r="A638">
        <f t="shared" si="137"/>
        <v>2027</v>
      </c>
      <c r="B638" t="str">
        <f t="shared" si="138"/>
        <v>do</v>
      </c>
      <c r="D638" t="s">
        <v>1496</v>
      </c>
      <c r="E638" s="14">
        <f t="shared" si="139"/>
        <v>46649</v>
      </c>
      <c r="F638" t="str">
        <f t="shared" si="140"/>
        <v>ordinario_s_do</v>
      </c>
      <c r="G638" s="15" t="str">
        <f t="shared" si="141"/>
        <v>"19/09/2027": "ordinario_s_do",</v>
      </c>
      <c r="H638" t="str">
        <f t="shared" si="142"/>
        <v xml:space="preserve">// TIEMPO ORDINARIO SEMANA </v>
      </c>
    </row>
    <row r="639" spans="1:8">
      <c r="A639">
        <f t="shared" si="137"/>
        <v>2027</v>
      </c>
      <c r="B639" t="str">
        <f t="shared" si="138"/>
        <v>lu</v>
      </c>
      <c r="D639" t="s">
        <v>1496</v>
      </c>
      <c r="E639" s="14">
        <f t="shared" si="139"/>
        <v>46650</v>
      </c>
      <c r="F639" t="str">
        <f t="shared" si="140"/>
        <v>ordinario_s_lu</v>
      </c>
      <c r="G639" s="15" t="str">
        <f t="shared" si="141"/>
        <v>"20/09/2027": "ordinario_s_lu",</v>
      </c>
      <c r="H639" t="str">
        <f t="shared" si="142"/>
        <v/>
      </c>
    </row>
    <row r="640" spans="1:8">
      <c r="A640">
        <f t="shared" si="137"/>
        <v>2027</v>
      </c>
      <c r="B640" t="str">
        <f t="shared" si="138"/>
        <v>ma</v>
      </c>
      <c r="D640" t="s">
        <v>1496</v>
      </c>
      <c r="E640" s="14">
        <f t="shared" si="139"/>
        <v>46651</v>
      </c>
      <c r="F640" t="str">
        <f t="shared" si="140"/>
        <v>ordinario_s_ma</v>
      </c>
      <c r="G640" s="15" t="str">
        <f t="shared" si="141"/>
        <v>"21/09/2027": "ordinario_s_ma",</v>
      </c>
      <c r="H640" t="str">
        <f t="shared" si="142"/>
        <v/>
      </c>
    </row>
    <row r="641" spans="1:8">
      <c r="A641">
        <f t="shared" si="137"/>
        <v>2027</v>
      </c>
      <c r="B641" t="str">
        <f t="shared" si="138"/>
        <v>mi</v>
      </c>
      <c r="D641" t="s">
        <v>1496</v>
      </c>
      <c r="E641" s="14">
        <f t="shared" si="139"/>
        <v>46652</v>
      </c>
      <c r="F641" t="str">
        <f t="shared" si="140"/>
        <v>ordinario_s_mi</v>
      </c>
      <c r="G641" s="15" t="str">
        <f t="shared" si="141"/>
        <v>"22/09/2027": "ordinario_s_mi",</v>
      </c>
      <c r="H641" t="str">
        <f t="shared" si="142"/>
        <v/>
      </c>
    </row>
    <row r="642" spans="1:8">
      <c r="A642">
        <f t="shared" si="137"/>
        <v>2027</v>
      </c>
      <c r="B642" t="str">
        <f t="shared" si="138"/>
        <v>ju</v>
      </c>
      <c r="D642" t="s">
        <v>1496</v>
      </c>
      <c r="E642" s="14">
        <f t="shared" si="139"/>
        <v>46653</v>
      </c>
      <c r="F642" t="str">
        <f t="shared" si="140"/>
        <v>ordinario_s_ju</v>
      </c>
      <c r="G642" s="15" t="str">
        <f t="shared" si="141"/>
        <v>"23/09/2027": "ordinario_s_ju",</v>
      </c>
      <c r="H642" t="str">
        <f t="shared" si="142"/>
        <v/>
      </c>
    </row>
    <row r="643" spans="1:8">
      <c r="A643">
        <f t="shared" si="137"/>
        <v>2027</v>
      </c>
      <c r="B643" t="str">
        <f t="shared" si="138"/>
        <v>vi</v>
      </c>
      <c r="D643" t="s">
        <v>1496</v>
      </c>
      <c r="E643" s="14">
        <f t="shared" si="139"/>
        <v>46654</v>
      </c>
      <c r="F643" t="str">
        <f t="shared" si="140"/>
        <v>ordinario_s_vi</v>
      </c>
      <c r="G643" s="15" t="str">
        <f t="shared" si="141"/>
        <v>"24/09/2027": "ordinario_s_vi",</v>
      </c>
      <c r="H643" t="str">
        <f t="shared" si="142"/>
        <v/>
      </c>
    </row>
    <row r="644" spans="1:8">
      <c r="A644">
        <f t="shared" si="137"/>
        <v>2027</v>
      </c>
      <c r="B644" t="str">
        <f t="shared" si="138"/>
        <v>sa</v>
      </c>
      <c r="D644" t="s">
        <v>1496</v>
      </c>
      <c r="E644" s="14">
        <f t="shared" si="139"/>
        <v>46655</v>
      </c>
      <c r="F644" t="str">
        <f t="shared" si="140"/>
        <v>ordinario_s_sa</v>
      </c>
      <c r="G644" s="15" t="str">
        <f t="shared" si="141"/>
        <v>"25/09/2027": "ordinario_s_sa",</v>
      </c>
      <c r="H644" t="str">
        <f t="shared" si="142"/>
        <v/>
      </c>
    </row>
    <row r="645" spans="1:8">
      <c r="A645">
        <f t="shared" si="137"/>
        <v>2027</v>
      </c>
      <c r="B645" t="str">
        <f t="shared" si="138"/>
        <v>do</v>
      </c>
      <c r="D645" t="s">
        <v>1496</v>
      </c>
      <c r="E645" s="14">
        <f t="shared" si="139"/>
        <v>46656</v>
      </c>
      <c r="F645" t="str">
        <f t="shared" si="140"/>
        <v>ordinario_s_do</v>
      </c>
      <c r="G645" s="15" t="str">
        <f t="shared" si="141"/>
        <v>"26/09/2027": "ordinario_s_do",</v>
      </c>
      <c r="H645" t="str">
        <f t="shared" si="142"/>
        <v xml:space="preserve">// TIEMPO ORDINARIO SEMANA </v>
      </c>
    </row>
    <row r="646" spans="1:8">
      <c r="A646">
        <f t="shared" si="137"/>
        <v>2027</v>
      </c>
      <c r="B646" t="str">
        <f t="shared" si="138"/>
        <v>lu</v>
      </c>
      <c r="D646" t="s">
        <v>1496</v>
      </c>
      <c r="E646" s="14">
        <f t="shared" si="139"/>
        <v>46657</v>
      </c>
      <c r="F646" t="str">
        <f t="shared" si="140"/>
        <v>ordinario_s_lu</v>
      </c>
      <c r="G646" s="15" t="str">
        <f t="shared" si="141"/>
        <v>"27/09/2027": "ordinario_s_lu",</v>
      </c>
      <c r="H646" t="str">
        <f t="shared" si="142"/>
        <v/>
      </c>
    </row>
    <row r="647" spans="1:8">
      <c r="A647">
        <f t="shared" si="137"/>
        <v>2027</v>
      </c>
      <c r="B647" t="str">
        <f t="shared" si="138"/>
        <v>ma</v>
      </c>
      <c r="D647" t="s">
        <v>1496</v>
      </c>
      <c r="E647" s="14">
        <f t="shared" si="139"/>
        <v>46658</v>
      </c>
      <c r="F647" t="str">
        <f t="shared" si="140"/>
        <v>ordinario_s_ma</v>
      </c>
      <c r="G647" s="15" t="str">
        <f t="shared" si="141"/>
        <v>"28/09/2027": "ordinario_s_ma",</v>
      </c>
      <c r="H647" t="str">
        <f t="shared" si="142"/>
        <v/>
      </c>
    </row>
    <row r="648" spans="1:8">
      <c r="A648">
        <f t="shared" si="137"/>
        <v>2027</v>
      </c>
      <c r="B648" t="str">
        <f t="shared" si="138"/>
        <v>mi</v>
      </c>
      <c r="D648" t="s">
        <v>1496</v>
      </c>
      <c r="E648" s="14">
        <f t="shared" si="139"/>
        <v>46659</v>
      </c>
      <c r="F648" t="str">
        <f t="shared" si="140"/>
        <v>ordinario_s_mi</v>
      </c>
      <c r="G648" s="15" t="str">
        <f t="shared" si="141"/>
        <v>"29/09/2027": "ordinario_s_mi",</v>
      </c>
      <c r="H648" t="str">
        <f t="shared" si="142"/>
        <v/>
      </c>
    </row>
    <row r="649" spans="1:8">
      <c r="A649">
        <f t="shared" si="137"/>
        <v>2027</v>
      </c>
      <c r="B649" t="str">
        <f t="shared" si="138"/>
        <v>ju</v>
      </c>
      <c r="D649" t="s">
        <v>1496</v>
      </c>
      <c r="E649" s="14">
        <f t="shared" si="139"/>
        <v>46660</v>
      </c>
      <c r="F649" t="str">
        <f t="shared" si="140"/>
        <v>ordinario_s_ju</v>
      </c>
      <c r="G649" s="15" t="str">
        <f t="shared" si="141"/>
        <v>"30/09/2027": "ordinario_s_ju",</v>
      </c>
      <c r="H649" t="str">
        <f t="shared" si="142"/>
        <v/>
      </c>
    </row>
    <row r="650" spans="1:8">
      <c r="A650">
        <f t="shared" si="137"/>
        <v>2027</v>
      </c>
      <c r="B650" t="str">
        <f t="shared" si="138"/>
        <v>vi</v>
      </c>
      <c r="D650" t="s">
        <v>1496</v>
      </c>
      <c r="E650" s="14">
        <f t="shared" si="139"/>
        <v>46661</v>
      </c>
      <c r="F650" t="str">
        <f t="shared" si="140"/>
        <v>ordinario_s_vi</v>
      </c>
      <c r="G650" s="15" t="str">
        <f t="shared" si="141"/>
        <v>"01/10/2027": "ordinario_s_vi",</v>
      </c>
      <c r="H650" t="str">
        <f t="shared" si="142"/>
        <v/>
      </c>
    </row>
    <row r="651" spans="1:8">
      <c r="A651">
        <f t="shared" si="137"/>
        <v>2027</v>
      </c>
      <c r="B651" t="str">
        <f t="shared" si="138"/>
        <v>sa</v>
      </c>
      <c r="D651" t="s">
        <v>1496</v>
      </c>
      <c r="E651" s="14">
        <f t="shared" si="139"/>
        <v>46662</v>
      </c>
      <c r="F651" t="str">
        <f t="shared" si="140"/>
        <v>ordinario_s_sa</v>
      </c>
      <c r="G651" s="15" t="str">
        <f t="shared" si="141"/>
        <v>"02/10/2027": "ordinario_s_sa",</v>
      </c>
      <c r="H651" t="str">
        <f t="shared" si="142"/>
        <v/>
      </c>
    </row>
    <row r="652" spans="1:8">
      <c r="A652">
        <f t="shared" si="137"/>
        <v>2027</v>
      </c>
      <c r="B652" t="str">
        <f t="shared" si="138"/>
        <v>do</v>
      </c>
      <c r="D652" t="s">
        <v>1496</v>
      </c>
      <c r="E652" s="14">
        <f t="shared" si="139"/>
        <v>46663</v>
      </c>
      <c r="F652" t="str">
        <f t="shared" si="140"/>
        <v>ordinario_s_do</v>
      </c>
      <c r="G652" s="15" t="str">
        <f t="shared" si="141"/>
        <v>"03/10/2027": "ordinario_s_do",</v>
      </c>
      <c r="H652" t="str">
        <f t="shared" si="142"/>
        <v xml:space="preserve">// TIEMPO ORDINARIO SEMANA </v>
      </c>
    </row>
    <row r="653" spans="1:8">
      <c r="A653">
        <f t="shared" si="137"/>
        <v>2027</v>
      </c>
      <c r="B653" t="str">
        <f t="shared" si="138"/>
        <v>lu</v>
      </c>
      <c r="D653" t="s">
        <v>1496</v>
      </c>
      <c r="E653" s="14">
        <f t="shared" si="139"/>
        <v>46664</v>
      </c>
      <c r="F653" t="str">
        <f t="shared" si="140"/>
        <v>ordinario_s_lu</v>
      </c>
      <c r="G653" s="15" t="str">
        <f t="shared" si="141"/>
        <v>"04/10/2027": "ordinario_s_lu",</v>
      </c>
      <c r="H653" t="str">
        <f t="shared" si="142"/>
        <v/>
      </c>
    </row>
    <row r="654" spans="1:8">
      <c r="A654">
        <f t="shared" si="137"/>
        <v>2027</v>
      </c>
      <c r="B654" t="str">
        <f t="shared" si="138"/>
        <v>ma</v>
      </c>
      <c r="D654" t="s">
        <v>1496</v>
      </c>
      <c r="E654" s="14">
        <f t="shared" si="139"/>
        <v>46665</v>
      </c>
      <c r="F654" t="str">
        <f t="shared" si="140"/>
        <v>ordinario_s_ma</v>
      </c>
      <c r="G654" s="15" t="str">
        <f t="shared" si="141"/>
        <v>"05/10/2027": "ordinario_s_ma",</v>
      </c>
      <c r="H654" t="str">
        <f t="shared" si="142"/>
        <v/>
      </c>
    </row>
    <row r="655" spans="1:8">
      <c r="A655">
        <f t="shared" si="137"/>
        <v>2027</v>
      </c>
      <c r="B655" t="str">
        <f t="shared" si="138"/>
        <v>mi</v>
      </c>
      <c r="D655" t="s">
        <v>1496</v>
      </c>
      <c r="E655" s="14">
        <f t="shared" si="139"/>
        <v>46666</v>
      </c>
      <c r="F655" t="str">
        <f t="shared" si="140"/>
        <v>ordinario_s_mi</v>
      </c>
      <c r="G655" s="15" t="str">
        <f t="shared" si="141"/>
        <v>"06/10/2027": "ordinario_s_mi",</v>
      </c>
      <c r="H655" t="str">
        <f t="shared" si="142"/>
        <v/>
      </c>
    </row>
    <row r="656" spans="1:8">
      <c r="A656">
        <f t="shared" si="137"/>
        <v>2027</v>
      </c>
      <c r="B656" t="str">
        <f t="shared" si="138"/>
        <v>ju</v>
      </c>
      <c r="D656" t="s">
        <v>1496</v>
      </c>
      <c r="E656" s="14">
        <f t="shared" si="139"/>
        <v>46667</v>
      </c>
      <c r="F656" t="str">
        <f t="shared" si="140"/>
        <v>ordinario_s_ju</v>
      </c>
      <c r="G656" s="15" t="str">
        <f t="shared" si="141"/>
        <v>"07/10/2027": "ordinario_s_ju",</v>
      </c>
      <c r="H656" t="str">
        <f t="shared" si="142"/>
        <v/>
      </c>
    </row>
    <row r="657" spans="1:8">
      <c r="A657">
        <f t="shared" si="137"/>
        <v>2027</v>
      </c>
      <c r="B657" t="str">
        <f t="shared" si="138"/>
        <v>vi</v>
      </c>
      <c r="D657" t="s">
        <v>1496</v>
      </c>
      <c r="E657" s="14">
        <f t="shared" si="139"/>
        <v>46668</v>
      </c>
      <c r="F657" t="str">
        <f t="shared" si="140"/>
        <v>ordinario_s_vi</v>
      </c>
      <c r="G657" s="15" t="str">
        <f t="shared" si="141"/>
        <v>"08/10/2027": "ordinario_s_vi",</v>
      </c>
      <c r="H657" t="str">
        <f t="shared" si="142"/>
        <v/>
      </c>
    </row>
    <row r="658" spans="1:8">
      <c r="A658">
        <f t="shared" si="137"/>
        <v>2027</v>
      </c>
      <c r="B658" t="str">
        <f t="shared" si="138"/>
        <v>sa</v>
      </c>
      <c r="D658" t="s">
        <v>1496</v>
      </c>
      <c r="E658" s="14">
        <f t="shared" si="139"/>
        <v>46669</v>
      </c>
      <c r="F658" t="str">
        <f t="shared" si="140"/>
        <v>ordinario_s_sa</v>
      </c>
      <c r="G658" s="15" t="str">
        <f t="shared" si="141"/>
        <v>"09/10/2027": "ordinario_s_sa",</v>
      </c>
      <c r="H658" t="str">
        <f t="shared" si="142"/>
        <v/>
      </c>
    </row>
    <row r="659" spans="1:8">
      <c r="A659">
        <f t="shared" si="137"/>
        <v>2027</v>
      </c>
      <c r="B659" t="str">
        <f t="shared" si="138"/>
        <v>do</v>
      </c>
      <c r="D659" t="s">
        <v>1496</v>
      </c>
      <c r="E659" s="14">
        <f t="shared" si="139"/>
        <v>46670</v>
      </c>
      <c r="F659" t="str">
        <f t="shared" si="140"/>
        <v>ordinario_s_do</v>
      </c>
      <c r="G659" s="15" t="str">
        <f t="shared" si="141"/>
        <v>"10/10/2027": "ordinario_s_do",</v>
      </c>
      <c r="H659" t="str">
        <f t="shared" si="142"/>
        <v xml:space="preserve">// TIEMPO ORDINARIO SEMANA </v>
      </c>
    </row>
    <row r="660" spans="1:8">
      <c r="A660">
        <f t="shared" si="137"/>
        <v>2027</v>
      </c>
      <c r="B660" t="str">
        <f t="shared" si="138"/>
        <v>lu</v>
      </c>
      <c r="D660" t="s">
        <v>1496</v>
      </c>
      <c r="E660" s="14">
        <f t="shared" si="139"/>
        <v>46671</v>
      </c>
      <c r="F660" t="str">
        <f t="shared" si="140"/>
        <v>ordinario_s_lu</v>
      </c>
      <c r="G660" s="15" t="str">
        <f t="shared" si="141"/>
        <v>"11/10/2027": "ordinario_s_lu",</v>
      </c>
      <c r="H660" t="str">
        <f t="shared" si="142"/>
        <v/>
      </c>
    </row>
    <row r="661" spans="1:8">
      <c r="A661">
        <f t="shared" si="137"/>
        <v>2027</v>
      </c>
      <c r="B661" t="str">
        <f t="shared" si="138"/>
        <v>ma</v>
      </c>
      <c r="D661" t="s">
        <v>1496</v>
      </c>
      <c r="E661" s="14">
        <f t="shared" si="139"/>
        <v>46672</v>
      </c>
      <c r="F661" t="str">
        <f t="shared" si="140"/>
        <v>ordinario_s_ma</v>
      </c>
      <c r="G661" s="15" t="str">
        <f t="shared" si="141"/>
        <v>"12/10/2027": "ordinario_s_ma",</v>
      </c>
      <c r="H661" t="str">
        <f t="shared" si="142"/>
        <v/>
      </c>
    </row>
    <row r="662" spans="1:8">
      <c r="A662">
        <f t="shared" si="137"/>
        <v>2027</v>
      </c>
      <c r="B662" t="str">
        <f t="shared" si="138"/>
        <v>mi</v>
      </c>
      <c r="D662" t="s">
        <v>1496</v>
      </c>
      <c r="E662" s="14">
        <f t="shared" si="139"/>
        <v>46673</v>
      </c>
      <c r="F662" t="str">
        <f t="shared" si="140"/>
        <v>ordinario_s_mi</v>
      </c>
      <c r="G662" s="15" t="str">
        <f t="shared" si="141"/>
        <v>"13/10/2027": "ordinario_s_mi",</v>
      </c>
      <c r="H662" t="str">
        <f t="shared" si="142"/>
        <v/>
      </c>
    </row>
    <row r="663" spans="1:8">
      <c r="A663">
        <f t="shared" si="137"/>
        <v>2027</v>
      </c>
      <c r="B663" t="str">
        <f t="shared" si="138"/>
        <v>ju</v>
      </c>
      <c r="D663" t="s">
        <v>1496</v>
      </c>
      <c r="E663" s="14">
        <f t="shared" si="139"/>
        <v>46674</v>
      </c>
      <c r="F663" t="str">
        <f t="shared" si="140"/>
        <v>ordinario_s_ju</v>
      </c>
      <c r="G663" s="15" t="str">
        <f t="shared" si="141"/>
        <v>"14/10/2027": "ordinario_s_ju",</v>
      </c>
      <c r="H663" t="str">
        <f t="shared" si="142"/>
        <v/>
      </c>
    </row>
    <row r="664" spans="1:8">
      <c r="A664">
        <f t="shared" si="137"/>
        <v>2027</v>
      </c>
      <c r="B664" t="str">
        <f t="shared" si="138"/>
        <v>vi</v>
      </c>
      <c r="D664" t="s">
        <v>1496</v>
      </c>
      <c r="E664" s="14">
        <f t="shared" si="139"/>
        <v>46675</v>
      </c>
      <c r="F664" t="str">
        <f t="shared" si="140"/>
        <v>ordinario_s_vi</v>
      </c>
      <c r="G664" s="15" t="str">
        <f t="shared" si="141"/>
        <v>"15/10/2027": "ordinario_s_vi",</v>
      </c>
      <c r="H664" t="str">
        <f t="shared" si="142"/>
        <v/>
      </c>
    </row>
    <row r="665" spans="1:8">
      <c r="A665">
        <f t="shared" si="137"/>
        <v>2027</v>
      </c>
      <c r="B665" t="str">
        <f t="shared" si="138"/>
        <v>sa</v>
      </c>
      <c r="D665" t="s">
        <v>1496</v>
      </c>
      <c r="E665" s="14">
        <f t="shared" si="139"/>
        <v>46676</v>
      </c>
      <c r="F665" t="str">
        <f t="shared" si="140"/>
        <v>ordinario_s_sa</v>
      </c>
      <c r="G665" s="15" t="str">
        <f t="shared" si="141"/>
        <v>"16/10/2027": "ordinario_s_sa",</v>
      </c>
      <c r="H665" t="str">
        <f t="shared" si="142"/>
        <v/>
      </c>
    </row>
    <row r="666" spans="1:8">
      <c r="A666">
        <f t="shared" si="137"/>
        <v>2027</v>
      </c>
      <c r="B666" t="str">
        <f t="shared" si="138"/>
        <v>do</v>
      </c>
      <c r="D666" t="s">
        <v>1496</v>
      </c>
      <c r="E666" s="14">
        <f t="shared" si="139"/>
        <v>46677</v>
      </c>
      <c r="F666" t="str">
        <f t="shared" si="140"/>
        <v>ordinario_s_do</v>
      </c>
      <c r="G666" s="15" t="str">
        <f t="shared" si="141"/>
        <v>"17/10/2027": "ordinario_s_do",</v>
      </c>
      <c r="H666" t="str">
        <f t="shared" si="142"/>
        <v xml:space="preserve">// TIEMPO ORDINARIO SEMANA </v>
      </c>
    </row>
    <row r="667" spans="1:8">
      <c r="A667">
        <f t="shared" si="137"/>
        <v>2027</v>
      </c>
      <c r="B667" t="str">
        <f t="shared" si="138"/>
        <v>lu</v>
      </c>
      <c r="D667" t="s">
        <v>1496</v>
      </c>
      <c r="E667" s="14">
        <f t="shared" si="139"/>
        <v>46678</v>
      </c>
      <c r="F667" t="str">
        <f t="shared" si="140"/>
        <v>ordinario_s_lu</v>
      </c>
      <c r="G667" s="15" t="str">
        <f t="shared" si="141"/>
        <v>"18/10/2027": "ordinario_s_lu",</v>
      </c>
      <c r="H667" t="str">
        <f t="shared" si="142"/>
        <v/>
      </c>
    </row>
    <row r="668" spans="1:8">
      <c r="A668">
        <f t="shared" si="137"/>
        <v>2027</v>
      </c>
      <c r="B668" t="str">
        <f t="shared" si="138"/>
        <v>ma</v>
      </c>
      <c r="D668" t="s">
        <v>1496</v>
      </c>
      <c r="E668" s="14">
        <f t="shared" si="139"/>
        <v>46679</v>
      </c>
      <c r="F668" t="str">
        <f t="shared" si="140"/>
        <v>ordinario_s_ma</v>
      </c>
      <c r="G668" s="15" t="str">
        <f t="shared" si="141"/>
        <v>"19/10/2027": "ordinario_s_ma",</v>
      </c>
      <c r="H668" t="str">
        <f t="shared" si="142"/>
        <v/>
      </c>
    </row>
    <row r="669" spans="1:8">
      <c r="A669">
        <f t="shared" si="137"/>
        <v>2027</v>
      </c>
      <c r="B669" t="str">
        <f t="shared" si="138"/>
        <v>mi</v>
      </c>
      <c r="D669" t="s">
        <v>1496</v>
      </c>
      <c r="E669" s="14">
        <f t="shared" si="139"/>
        <v>46680</v>
      </c>
      <c r="F669" t="str">
        <f t="shared" si="140"/>
        <v>ordinario_s_mi</v>
      </c>
      <c r="G669" s="15" t="str">
        <f t="shared" si="141"/>
        <v>"20/10/2027": "ordinario_s_mi",</v>
      </c>
      <c r="H669" t="str">
        <f t="shared" si="142"/>
        <v/>
      </c>
    </row>
    <row r="670" spans="1:8">
      <c r="A670">
        <f t="shared" si="137"/>
        <v>2027</v>
      </c>
      <c r="B670" t="str">
        <f t="shared" si="138"/>
        <v>ju</v>
      </c>
      <c r="D670" t="s">
        <v>1496</v>
      </c>
      <c r="E670" s="14">
        <f t="shared" si="139"/>
        <v>46681</v>
      </c>
      <c r="F670" t="str">
        <f t="shared" si="140"/>
        <v>ordinario_s_ju</v>
      </c>
      <c r="G670" s="15" t="str">
        <f t="shared" si="141"/>
        <v>"21/10/2027": "ordinario_s_ju",</v>
      </c>
      <c r="H670" t="str">
        <f t="shared" si="142"/>
        <v/>
      </c>
    </row>
    <row r="671" spans="1:8">
      <c r="A671">
        <f t="shared" si="137"/>
        <v>2027</v>
      </c>
      <c r="B671" t="str">
        <f t="shared" si="138"/>
        <v>vi</v>
      </c>
      <c r="D671" t="s">
        <v>1496</v>
      </c>
      <c r="E671" s="14">
        <f t="shared" si="139"/>
        <v>46682</v>
      </c>
      <c r="F671" t="str">
        <f t="shared" si="140"/>
        <v>ordinario_s_vi</v>
      </c>
      <c r="G671" s="15" t="str">
        <f t="shared" si="141"/>
        <v>"22/10/2027": "ordinario_s_vi",</v>
      </c>
      <c r="H671" t="str">
        <f t="shared" si="142"/>
        <v/>
      </c>
    </row>
    <row r="672" spans="1:8">
      <c r="A672">
        <f t="shared" si="137"/>
        <v>2027</v>
      </c>
      <c r="B672" t="str">
        <f t="shared" si="138"/>
        <v>sa</v>
      </c>
      <c r="D672" t="s">
        <v>1496</v>
      </c>
      <c r="E672" s="14">
        <f t="shared" si="139"/>
        <v>46683</v>
      </c>
      <c r="F672" t="str">
        <f t="shared" si="140"/>
        <v>ordinario_s_sa</v>
      </c>
      <c r="G672" s="15" t="str">
        <f t="shared" si="141"/>
        <v>"23/10/2027": "ordinario_s_sa",</v>
      </c>
      <c r="H672" t="str">
        <f t="shared" si="142"/>
        <v/>
      </c>
    </row>
    <row r="673" spans="1:8">
      <c r="A673">
        <f t="shared" ref="A673:A736" si="143">YEAR(E673)</f>
        <v>2027</v>
      </c>
      <c r="B673" t="str">
        <f t="shared" si="138"/>
        <v>do</v>
      </c>
      <c r="D673" t="s">
        <v>1496</v>
      </c>
      <c r="E673" s="14">
        <f t="shared" si="139"/>
        <v>46684</v>
      </c>
      <c r="F673" t="str">
        <f t="shared" si="140"/>
        <v>ordinario_s_do</v>
      </c>
      <c r="G673" s="15" t="str">
        <f t="shared" si="141"/>
        <v>"24/10/2027": "ordinario_s_do",</v>
      </c>
      <c r="H673" t="str">
        <f t="shared" si="142"/>
        <v xml:space="preserve">// TIEMPO ORDINARIO SEMANA </v>
      </c>
    </row>
    <row r="674" spans="1:8">
      <c r="A674">
        <f t="shared" si="143"/>
        <v>2027</v>
      </c>
      <c r="B674" t="str">
        <f t="shared" ref="B674:B737" si="144">CHOOSE(WEEKDAY(E674), "do", "lu", "ma", "mi", "ju", "vi", "sa")</f>
        <v>lu</v>
      </c>
      <c r="D674" t="s">
        <v>1496</v>
      </c>
      <c r="E674" s="14">
        <f t="shared" ref="E674:E737" si="145">+E673+1</f>
        <v>46685</v>
      </c>
      <c r="F674" t="str">
        <f t="shared" ref="F674:F737" si="146">_xlfn.CONCAT(D674,"_s",C674,"_",B674)</f>
        <v>ordinario_s_lu</v>
      </c>
      <c r="G674" s="15" t="str">
        <f t="shared" ref="G674:G737" si="147">"""" &amp; TEXT(E674, "dd/mm/yyyy") &amp; """: """ &amp; F674 &amp; ""","</f>
        <v>"25/10/2027": "ordinario_s_lu",</v>
      </c>
      <c r="H674" t="str">
        <f t="shared" ref="H674:H737" si="148">IF(B674="do", "// TIEMPO " &amp; UPPER(D674) &amp; " SEMANA " &amp; C674, "")</f>
        <v/>
      </c>
    </row>
    <row r="675" spans="1:8">
      <c r="A675">
        <f t="shared" si="143"/>
        <v>2027</v>
      </c>
      <c r="B675" t="str">
        <f t="shared" si="144"/>
        <v>ma</v>
      </c>
      <c r="D675" t="s">
        <v>1496</v>
      </c>
      <c r="E675" s="14">
        <f t="shared" si="145"/>
        <v>46686</v>
      </c>
      <c r="F675" t="str">
        <f t="shared" si="146"/>
        <v>ordinario_s_ma</v>
      </c>
      <c r="G675" s="15" t="str">
        <f t="shared" si="147"/>
        <v>"26/10/2027": "ordinario_s_ma",</v>
      </c>
      <c r="H675" t="str">
        <f t="shared" si="148"/>
        <v/>
      </c>
    </row>
    <row r="676" spans="1:8">
      <c r="A676">
        <f t="shared" si="143"/>
        <v>2027</v>
      </c>
      <c r="B676" t="str">
        <f t="shared" si="144"/>
        <v>mi</v>
      </c>
      <c r="D676" t="s">
        <v>1496</v>
      </c>
      <c r="E676" s="14">
        <f t="shared" si="145"/>
        <v>46687</v>
      </c>
      <c r="F676" t="str">
        <f t="shared" si="146"/>
        <v>ordinario_s_mi</v>
      </c>
      <c r="G676" s="15" t="str">
        <f t="shared" si="147"/>
        <v>"27/10/2027": "ordinario_s_mi",</v>
      </c>
      <c r="H676" t="str">
        <f t="shared" si="148"/>
        <v/>
      </c>
    </row>
    <row r="677" spans="1:8">
      <c r="A677">
        <f t="shared" si="143"/>
        <v>2027</v>
      </c>
      <c r="B677" t="str">
        <f t="shared" si="144"/>
        <v>ju</v>
      </c>
      <c r="D677" t="s">
        <v>1496</v>
      </c>
      <c r="E677" s="14">
        <f t="shared" si="145"/>
        <v>46688</v>
      </c>
      <c r="F677" t="str">
        <f t="shared" si="146"/>
        <v>ordinario_s_ju</v>
      </c>
      <c r="G677" s="15" t="str">
        <f t="shared" si="147"/>
        <v>"28/10/2027": "ordinario_s_ju",</v>
      </c>
      <c r="H677" t="str">
        <f t="shared" si="148"/>
        <v/>
      </c>
    </row>
    <row r="678" spans="1:8">
      <c r="A678">
        <f t="shared" si="143"/>
        <v>2027</v>
      </c>
      <c r="B678" t="str">
        <f t="shared" si="144"/>
        <v>vi</v>
      </c>
      <c r="D678" t="s">
        <v>1496</v>
      </c>
      <c r="E678" s="14">
        <f t="shared" si="145"/>
        <v>46689</v>
      </c>
      <c r="F678" t="str">
        <f t="shared" si="146"/>
        <v>ordinario_s_vi</v>
      </c>
      <c r="G678" s="15" t="str">
        <f t="shared" si="147"/>
        <v>"29/10/2027": "ordinario_s_vi",</v>
      </c>
      <c r="H678" t="str">
        <f t="shared" si="148"/>
        <v/>
      </c>
    </row>
    <row r="679" spans="1:8">
      <c r="A679">
        <f t="shared" si="143"/>
        <v>2027</v>
      </c>
      <c r="B679" t="str">
        <f t="shared" si="144"/>
        <v>sa</v>
      </c>
      <c r="D679" t="s">
        <v>1496</v>
      </c>
      <c r="E679" s="14">
        <f t="shared" si="145"/>
        <v>46690</v>
      </c>
      <c r="F679" t="str">
        <f t="shared" si="146"/>
        <v>ordinario_s_sa</v>
      </c>
      <c r="G679" s="15" t="str">
        <f t="shared" si="147"/>
        <v>"30/10/2027": "ordinario_s_sa",</v>
      </c>
      <c r="H679" t="str">
        <f t="shared" si="148"/>
        <v/>
      </c>
    </row>
    <row r="680" spans="1:8">
      <c r="A680">
        <f t="shared" si="143"/>
        <v>2027</v>
      </c>
      <c r="B680" t="str">
        <f t="shared" si="144"/>
        <v>do</v>
      </c>
      <c r="D680" t="s">
        <v>1496</v>
      </c>
      <c r="E680" s="14">
        <f t="shared" si="145"/>
        <v>46691</v>
      </c>
      <c r="F680" t="str">
        <f t="shared" si="146"/>
        <v>ordinario_s_do</v>
      </c>
      <c r="G680" s="15" t="str">
        <f t="shared" si="147"/>
        <v>"31/10/2027": "ordinario_s_do",</v>
      </c>
      <c r="H680" t="str">
        <f t="shared" si="148"/>
        <v xml:space="preserve">// TIEMPO ORDINARIO SEMANA </v>
      </c>
    </row>
    <row r="681" spans="1:8">
      <c r="A681">
        <f t="shared" si="143"/>
        <v>2027</v>
      </c>
      <c r="B681" t="str">
        <f t="shared" si="144"/>
        <v>lu</v>
      </c>
      <c r="D681" t="s">
        <v>1496</v>
      </c>
      <c r="E681" s="14">
        <f t="shared" si="145"/>
        <v>46692</v>
      </c>
      <c r="F681" t="str">
        <f t="shared" si="146"/>
        <v>ordinario_s_lu</v>
      </c>
      <c r="G681" s="15" t="str">
        <f t="shared" si="147"/>
        <v>"01/11/2027": "ordinario_s_lu",</v>
      </c>
      <c r="H681" t="str">
        <f t="shared" si="148"/>
        <v/>
      </c>
    </row>
    <row r="682" spans="1:8">
      <c r="A682">
        <f t="shared" si="143"/>
        <v>2027</v>
      </c>
      <c r="B682" t="str">
        <f t="shared" si="144"/>
        <v>ma</v>
      </c>
      <c r="D682" t="s">
        <v>1496</v>
      </c>
      <c r="E682" s="14">
        <f t="shared" si="145"/>
        <v>46693</v>
      </c>
      <c r="F682" t="str">
        <f t="shared" si="146"/>
        <v>ordinario_s_ma</v>
      </c>
      <c r="G682" s="15" t="str">
        <f t="shared" si="147"/>
        <v>"02/11/2027": "ordinario_s_ma",</v>
      </c>
      <c r="H682" t="str">
        <f t="shared" si="148"/>
        <v/>
      </c>
    </row>
    <row r="683" spans="1:8">
      <c r="A683">
        <f t="shared" si="143"/>
        <v>2027</v>
      </c>
      <c r="B683" t="str">
        <f t="shared" si="144"/>
        <v>mi</v>
      </c>
      <c r="D683" t="s">
        <v>1496</v>
      </c>
      <c r="E683" s="14">
        <f t="shared" si="145"/>
        <v>46694</v>
      </c>
      <c r="F683" t="str">
        <f t="shared" si="146"/>
        <v>ordinario_s_mi</v>
      </c>
      <c r="G683" s="15" t="str">
        <f t="shared" si="147"/>
        <v>"03/11/2027": "ordinario_s_mi",</v>
      </c>
      <c r="H683" t="str">
        <f t="shared" si="148"/>
        <v/>
      </c>
    </row>
    <row r="684" spans="1:8">
      <c r="A684">
        <f t="shared" si="143"/>
        <v>2027</v>
      </c>
      <c r="B684" t="str">
        <f t="shared" si="144"/>
        <v>ju</v>
      </c>
      <c r="D684" t="s">
        <v>1496</v>
      </c>
      <c r="E684" s="14">
        <f t="shared" si="145"/>
        <v>46695</v>
      </c>
      <c r="F684" t="str">
        <f t="shared" si="146"/>
        <v>ordinario_s_ju</v>
      </c>
      <c r="G684" s="15" t="str">
        <f t="shared" si="147"/>
        <v>"04/11/2027": "ordinario_s_ju",</v>
      </c>
      <c r="H684" t="str">
        <f t="shared" si="148"/>
        <v/>
      </c>
    </row>
    <row r="685" spans="1:8">
      <c r="A685">
        <f t="shared" si="143"/>
        <v>2027</v>
      </c>
      <c r="B685" t="str">
        <f t="shared" si="144"/>
        <v>vi</v>
      </c>
      <c r="D685" t="s">
        <v>1496</v>
      </c>
      <c r="E685" s="14">
        <f t="shared" si="145"/>
        <v>46696</v>
      </c>
      <c r="F685" t="str">
        <f t="shared" si="146"/>
        <v>ordinario_s_vi</v>
      </c>
      <c r="G685" s="15" t="str">
        <f t="shared" si="147"/>
        <v>"05/11/2027": "ordinario_s_vi",</v>
      </c>
      <c r="H685" t="str">
        <f t="shared" si="148"/>
        <v/>
      </c>
    </row>
    <row r="686" spans="1:8">
      <c r="A686">
        <f t="shared" si="143"/>
        <v>2027</v>
      </c>
      <c r="B686" t="str">
        <f t="shared" si="144"/>
        <v>sa</v>
      </c>
      <c r="D686" t="s">
        <v>1496</v>
      </c>
      <c r="E686" s="14">
        <f t="shared" si="145"/>
        <v>46697</v>
      </c>
      <c r="F686" t="str">
        <f t="shared" si="146"/>
        <v>ordinario_s_sa</v>
      </c>
      <c r="G686" s="15" t="str">
        <f t="shared" si="147"/>
        <v>"06/11/2027": "ordinario_s_sa",</v>
      </c>
      <c r="H686" t="str">
        <f t="shared" si="148"/>
        <v/>
      </c>
    </row>
    <row r="687" spans="1:8">
      <c r="A687">
        <f t="shared" si="143"/>
        <v>2027</v>
      </c>
      <c r="B687" t="str">
        <f t="shared" si="144"/>
        <v>do</v>
      </c>
      <c r="D687" t="s">
        <v>1496</v>
      </c>
      <c r="E687" s="14">
        <f t="shared" si="145"/>
        <v>46698</v>
      </c>
      <c r="F687" t="str">
        <f t="shared" si="146"/>
        <v>ordinario_s_do</v>
      </c>
      <c r="G687" s="15" t="str">
        <f t="shared" si="147"/>
        <v>"07/11/2027": "ordinario_s_do",</v>
      </c>
      <c r="H687" t="str">
        <f t="shared" si="148"/>
        <v xml:space="preserve">// TIEMPO ORDINARIO SEMANA </v>
      </c>
    </row>
    <row r="688" spans="1:8">
      <c r="A688">
        <f t="shared" si="143"/>
        <v>2027</v>
      </c>
      <c r="B688" t="str">
        <f t="shared" si="144"/>
        <v>lu</v>
      </c>
      <c r="D688" t="s">
        <v>1496</v>
      </c>
      <c r="E688" s="14">
        <f t="shared" si="145"/>
        <v>46699</v>
      </c>
      <c r="F688" t="str">
        <f t="shared" si="146"/>
        <v>ordinario_s_lu</v>
      </c>
      <c r="G688" s="15" t="str">
        <f t="shared" si="147"/>
        <v>"08/11/2027": "ordinario_s_lu",</v>
      </c>
      <c r="H688" t="str">
        <f t="shared" si="148"/>
        <v/>
      </c>
    </row>
    <row r="689" spans="1:8">
      <c r="A689">
        <f t="shared" si="143"/>
        <v>2027</v>
      </c>
      <c r="B689" t="str">
        <f t="shared" si="144"/>
        <v>ma</v>
      </c>
      <c r="D689" t="s">
        <v>1496</v>
      </c>
      <c r="E689" s="14">
        <f t="shared" si="145"/>
        <v>46700</v>
      </c>
      <c r="F689" t="str">
        <f t="shared" si="146"/>
        <v>ordinario_s_ma</v>
      </c>
      <c r="G689" s="15" t="str">
        <f t="shared" si="147"/>
        <v>"09/11/2027": "ordinario_s_ma",</v>
      </c>
      <c r="H689" t="str">
        <f t="shared" si="148"/>
        <v/>
      </c>
    </row>
    <row r="690" spans="1:8">
      <c r="A690">
        <f t="shared" si="143"/>
        <v>2027</v>
      </c>
      <c r="B690" t="str">
        <f t="shared" si="144"/>
        <v>mi</v>
      </c>
      <c r="D690" t="s">
        <v>1496</v>
      </c>
      <c r="E690" s="14">
        <f t="shared" si="145"/>
        <v>46701</v>
      </c>
      <c r="F690" t="str">
        <f t="shared" si="146"/>
        <v>ordinario_s_mi</v>
      </c>
      <c r="G690" s="15" t="str">
        <f t="shared" si="147"/>
        <v>"10/11/2027": "ordinario_s_mi",</v>
      </c>
      <c r="H690" t="str">
        <f t="shared" si="148"/>
        <v/>
      </c>
    </row>
    <row r="691" spans="1:8">
      <c r="A691">
        <f t="shared" si="143"/>
        <v>2027</v>
      </c>
      <c r="B691" t="str">
        <f t="shared" si="144"/>
        <v>ju</v>
      </c>
      <c r="D691" t="s">
        <v>1496</v>
      </c>
      <c r="E691" s="14">
        <f t="shared" si="145"/>
        <v>46702</v>
      </c>
      <c r="F691" t="str">
        <f t="shared" si="146"/>
        <v>ordinario_s_ju</v>
      </c>
      <c r="G691" s="15" t="str">
        <f t="shared" si="147"/>
        <v>"11/11/2027": "ordinario_s_ju",</v>
      </c>
      <c r="H691" t="str">
        <f t="shared" si="148"/>
        <v/>
      </c>
    </row>
    <row r="692" spans="1:8">
      <c r="A692">
        <f t="shared" si="143"/>
        <v>2027</v>
      </c>
      <c r="B692" t="str">
        <f t="shared" si="144"/>
        <v>vi</v>
      </c>
      <c r="D692" t="s">
        <v>1496</v>
      </c>
      <c r="E692" s="14">
        <f t="shared" si="145"/>
        <v>46703</v>
      </c>
      <c r="F692" t="str">
        <f t="shared" si="146"/>
        <v>ordinario_s_vi</v>
      </c>
      <c r="G692" s="15" t="str">
        <f t="shared" si="147"/>
        <v>"12/11/2027": "ordinario_s_vi",</v>
      </c>
      <c r="H692" t="str">
        <f t="shared" si="148"/>
        <v/>
      </c>
    </row>
    <row r="693" spans="1:8">
      <c r="A693">
        <f t="shared" si="143"/>
        <v>2027</v>
      </c>
      <c r="B693" t="str">
        <f t="shared" si="144"/>
        <v>sa</v>
      </c>
      <c r="D693" t="s">
        <v>1496</v>
      </c>
      <c r="E693" s="14">
        <f t="shared" si="145"/>
        <v>46704</v>
      </c>
      <c r="F693" t="str">
        <f t="shared" si="146"/>
        <v>ordinario_s_sa</v>
      </c>
      <c r="G693" s="15" t="str">
        <f t="shared" si="147"/>
        <v>"13/11/2027": "ordinario_s_sa",</v>
      </c>
      <c r="H693" t="str">
        <f t="shared" si="148"/>
        <v/>
      </c>
    </row>
    <row r="694" spans="1:8">
      <c r="A694">
        <f t="shared" si="143"/>
        <v>2027</v>
      </c>
      <c r="B694" t="str">
        <f t="shared" si="144"/>
        <v>do</v>
      </c>
      <c r="D694" t="s">
        <v>1496</v>
      </c>
      <c r="E694" s="14">
        <f t="shared" si="145"/>
        <v>46705</v>
      </c>
      <c r="F694" t="str">
        <f t="shared" si="146"/>
        <v>ordinario_s_do</v>
      </c>
      <c r="G694" s="15" t="str">
        <f t="shared" si="147"/>
        <v>"14/11/2027": "ordinario_s_do",</v>
      </c>
      <c r="H694" t="str">
        <f t="shared" si="148"/>
        <v xml:space="preserve">// TIEMPO ORDINARIO SEMANA </v>
      </c>
    </row>
    <row r="695" spans="1:8">
      <c r="A695">
        <f t="shared" si="143"/>
        <v>2027</v>
      </c>
      <c r="B695" t="str">
        <f t="shared" si="144"/>
        <v>lu</v>
      </c>
      <c r="D695" t="s">
        <v>1496</v>
      </c>
      <c r="E695" s="14">
        <f t="shared" si="145"/>
        <v>46706</v>
      </c>
      <c r="F695" t="str">
        <f t="shared" si="146"/>
        <v>ordinario_s_lu</v>
      </c>
      <c r="G695" s="15" t="str">
        <f t="shared" si="147"/>
        <v>"15/11/2027": "ordinario_s_lu",</v>
      </c>
      <c r="H695" t="str">
        <f t="shared" si="148"/>
        <v/>
      </c>
    </row>
    <row r="696" spans="1:8">
      <c r="A696">
        <f t="shared" si="143"/>
        <v>2027</v>
      </c>
      <c r="B696" t="str">
        <f t="shared" si="144"/>
        <v>ma</v>
      </c>
      <c r="D696" t="s">
        <v>1496</v>
      </c>
      <c r="E696" s="14">
        <f t="shared" si="145"/>
        <v>46707</v>
      </c>
      <c r="F696" t="str">
        <f t="shared" si="146"/>
        <v>ordinario_s_ma</v>
      </c>
      <c r="G696" s="15" t="str">
        <f t="shared" si="147"/>
        <v>"16/11/2027": "ordinario_s_ma",</v>
      </c>
      <c r="H696" t="str">
        <f t="shared" si="148"/>
        <v/>
      </c>
    </row>
    <row r="697" spans="1:8">
      <c r="A697">
        <f t="shared" si="143"/>
        <v>2027</v>
      </c>
      <c r="B697" t="str">
        <f t="shared" si="144"/>
        <v>mi</v>
      </c>
      <c r="D697" t="s">
        <v>1496</v>
      </c>
      <c r="E697" s="14">
        <f t="shared" si="145"/>
        <v>46708</v>
      </c>
      <c r="F697" t="str">
        <f t="shared" si="146"/>
        <v>ordinario_s_mi</v>
      </c>
      <c r="G697" s="15" t="str">
        <f t="shared" si="147"/>
        <v>"17/11/2027": "ordinario_s_mi",</v>
      </c>
      <c r="H697" t="str">
        <f t="shared" si="148"/>
        <v/>
      </c>
    </row>
    <row r="698" spans="1:8">
      <c r="A698">
        <f t="shared" si="143"/>
        <v>2027</v>
      </c>
      <c r="B698" t="str">
        <f t="shared" si="144"/>
        <v>ju</v>
      </c>
      <c r="D698" t="s">
        <v>1496</v>
      </c>
      <c r="E698" s="14">
        <f t="shared" si="145"/>
        <v>46709</v>
      </c>
      <c r="F698" t="str">
        <f t="shared" si="146"/>
        <v>ordinario_s_ju</v>
      </c>
      <c r="G698" s="15" t="str">
        <f t="shared" si="147"/>
        <v>"18/11/2027": "ordinario_s_ju",</v>
      </c>
      <c r="H698" t="str">
        <f t="shared" si="148"/>
        <v/>
      </c>
    </row>
    <row r="699" spans="1:8">
      <c r="A699">
        <f t="shared" si="143"/>
        <v>2027</v>
      </c>
      <c r="B699" t="str">
        <f t="shared" si="144"/>
        <v>vi</v>
      </c>
      <c r="D699" t="s">
        <v>1496</v>
      </c>
      <c r="E699" s="14">
        <f t="shared" si="145"/>
        <v>46710</v>
      </c>
      <c r="F699" t="str">
        <f t="shared" si="146"/>
        <v>ordinario_s_vi</v>
      </c>
      <c r="G699" s="15" t="str">
        <f t="shared" si="147"/>
        <v>"19/11/2027": "ordinario_s_vi",</v>
      </c>
      <c r="H699" t="str">
        <f t="shared" si="148"/>
        <v/>
      </c>
    </row>
    <row r="700" spans="1:8">
      <c r="A700">
        <f t="shared" si="143"/>
        <v>2027</v>
      </c>
      <c r="B700" t="str">
        <f t="shared" si="144"/>
        <v>sa</v>
      </c>
      <c r="D700" t="s">
        <v>1496</v>
      </c>
      <c r="E700" s="14">
        <f t="shared" si="145"/>
        <v>46711</v>
      </c>
      <c r="F700" t="str">
        <f t="shared" si="146"/>
        <v>ordinario_s_sa</v>
      </c>
      <c r="G700" s="15" t="str">
        <f t="shared" si="147"/>
        <v>"20/11/2027": "ordinario_s_sa",</v>
      </c>
      <c r="H700" t="str">
        <f t="shared" si="148"/>
        <v/>
      </c>
    </row>
    <row r="701" spans="1:8">
      <c r="A701">
        <f t="shared" si="143"/>
        <v>2027</v>
      </c>
      <c r="B701" t="str">
        <f t="shared" si="144"/>
        <v>do</v>
      </c>
      <c r="D701" t="s">
        <v>1496</v>
      </c>
      <c r="E701" s="14">
        <f t="shared" si="145"/>
        <v>46712</v>
      </c>
      <c r="F701" t="str">
        <f t="shared" si="146"/>
        <v>ordinario_s_do</v>
      </c>
      <c r="G701" s="15" t="str">
        <f t="shared" si="147"/>
        <v>"21/11/2027": "ordinario_s_do",</v>
      </c>
      <c r="H701" t="str">
        <f t="shared" si="148"/>
        <v xml:space="preserve">// TIEMPO ORDINARIO SEMANA </v>
      </c>
    </row>
    <row r="702" spans="1:8">
      <c r="A702">
        <f t="shared" si="143"/>
        <v>2027</v>
      </c>
      <c r="B702" t="str">
        <f t="shared" si="144"/>
        <v>lu</v>
      </c>
      <c r="D702" t="s">
        <v>1496</v>
      </c>
      <c r="E702" s="14">
        <f t="shared" si="145"/>
        <v>46713</v>
      </c>
      <c r="F702" t="str">
        <f t="shared" si="146"/>
        <v>ordinario_s_lu</v>
      </c>
      <c r="G702" s="15" t="str">
        <f t="shared" si="147"/>
        <v>"22/11/2027": "ordinario_s_lu",</v>
      </c>
      <c r="H702" t="str">
        <f t="shared" si="148"/>
        <v/>
      </c>
    </row>
    <row r="703" spans="1:8">
      <c r="A703">
        <f t="shared" si="143"/>
        <v>2027</v>
      </c>
      <c r="B703" t="str">
        <f t="shared" si="144"/>
        <v>ma</v>
      </c>
      <c r="D703" t="s">
        <v>1496</v>
      </c>
      <c r="E703" s="14">
        <f t="shared" si="145"/>
        <v>46714</v>
      </c>
      <c r="F703" t="str">
        <f t="shared" si="146"/>
        <v>ordinario_s_ma</v>
      </c>
      <c r="G703" s="15" t="str">
        <f t="shared" si="147"/>
        <v>"23/11/2027": "ordinario_s_ma",</v>
      </c>
      <c r="H703" t="str">
        <f t="shared" si="148"/>
        <v/>
      </c>
    </row>
    <row r="704" spans="1:8">
      <c r="A704">
        <f t="shared" si="143"/>
        <v>2027</v>
      </c>
      <c r="B704" t="str">
        <f t="shared" si="144"/>
        <v>mi</v>
      </c>
      <c r="D704" t="s">
        <v>1496</v>
      </c>
      <c r="E704" s="14">
        <f t="shared" si="145"/>
        <v>46715</v>
      </c>
      <c r="F704" t="str">
        <f t="shared" si="146"/>
        <v>ordinario_s_mi</v>
      </c>
      <c r="G704" s="15" t="str">
        <f t="shared" si="147"/>
        <v>"24/11/2027": "ordinario_s_mi",</v>
      </c>
      <c r="H704" t="str">
        <f t="shared" si="148"/>
        <v/>
      </c>
    </row>
    <row r="705" spans="1:8">
      <c r="A705">
        <f t="shared" si="143"/>
        <v>2027</v>
      </c>
      <c r="B705" t="str">
        <f t="shared" si="144"/>
        <v>ju</v>
      </c>
      <c r="D705" t="s">
        <v>1496</v>
      </c>
      <c r="E705" s="14">
        <f t="shared" si="145"/>
        <v>46716</v>
      </c>
      <c r="F705" t="str">
        <f t="shared" si="146"/>
        <v>ordinario_s_ju</v>
      </c>
      <c r="G705" s="15" t="str">
        <f t="shared" si="147"/>
        <v>"25/11/2027": "ordinario_s_ju",</v>
      </c>
      <c r="H705" t="str">
        <f t="shared" si="148"/>
        <v/>
      </c>
    </row>
    <row r="706" spans="1:8">
      <c r="A706">
        <f t="shared" si="143"/>
        <v>2027</v>
      </c>
      <c r="B706" t="str">
        <f t="shared" si="144"/>
        <v>vi</v>
      </c>
      <c r="D706" t="s">
        <v>1496</v>
      </c>
      <c r="E706" s="14">
        <f t="shared" si="145"/>
        <v>46717</v>
      </c>
      <c r="F706" t="str">
        <f t="shared" si="146"/>
        <v>ordinario_s_vi</v>
      </c>
      <c r="G706" s="15" t="str">
        <f t="shared" si="147"/>
        <v>"26/11/2027": "ordinario_s_vi",</v>
      </c>
      <c r="H706" t="str">
        <f t="shared" si="148"/>
        <v/>
      </c>
    </row>
    <row r="707" spans="1:8">
      <c r="A707">
        <f t="shared" si="143"/>
        <v>2027</v>
      </c>
      <c r="B707" t="str">
        <f t="shared" si="144"/>
        <v>sa</v>
      </c>
      <c r="D707" t="s">
        <v>1496</v>
      </c>
      <c r="E707" s="14">
        <f t="shared" si="145"/>
        <v>46718</v>
      </c>
      <c r="F707" t="str">
        <f t="shared" si="146"/>
        <v>ordinario_s_sa</v>
      </c>
      <c r="G707" s="15" t="str">
        <f t="shared" si="147"/>
        <v>"27/11/2027": "ordinario_s_sa",</v>
      </c>
      <c r="H707" t="str">
        <f t="shared" si="148"/>
        <v/>
      </c>
    </row>
    <row r="708" spans="1:8">
      <c r="A708">
        <f t="shared" si="143"/>
        <v>2027</v>
      </c>
      <c r="B708" t="str">
        <f t="shared" si="144"/>
        <v>do</v>
      </c>
      <c r="D708" t="s">
        <v>1496</v>
      </c>
      <c r="E708" s="14">
        <f t="shared" si="145"/>
        <v>46719</v>
      </c>
      <c r="F708" t="str">
        <f t="shared" si="146"/>
        <v>ordinario_s_do</v>
      </c>
      <c r="G708" s="15" t="str">
        <f t="shared" si="147"/>
        <v>"28/11/2027": "ordinario_s_do",</v>
      </c>
      <c r="H708" t="str">
        <f t="shared" si="148"/>
        <v xml:space="preserve">// TIEMPO ORDINARIO SEMANA </v>
      </c>
    </row>
    <row r="709" spans="1:8">
      <c r="A709">
        <f t="shared" si="143"/>
        <v>2027</v>
      </c>
      <c r="B709" t="str">
        <f t="shared" si="144"/>
        <v>lu</v>
      </c>
      <c r="D709" t="s">
        <v>1496</v>
      </c>
      <c r="E709" s="14">
        <f t="shared" si="145"/>
        <v>46720</v>
      </c>
      <c r="F709" t="str">
        <f t="shared" si="146"/>
        <v>ordinario_s_lu</v>
      </c>
      <c r="G709" s="15" t="str">
        <f t="shared" si="147"/>
        <v>"29/11/2027": "ordinario_s_lu",</v>
      </c>
      <c r="H709" t="str">
        <f t="shared" si="148"/>
        <v/>
      </c>
    </row>
    <row r="710" spans="1:8">
      <c r="A710">
        <f t="shared" si="143"/>
        <v>2027</v>
      </c>
      <c r="B710" t="str">
        <f t="shared" si="144"/>
        <v>ma</v>
      </c>
      <c r="D710" t="s">
        <v>1496</v>
      </c>
      <c r="E710" s="14">
        <f t="shared" si="145"/>
        <v>46721</v>
      </c>
      <c r="F710" t="str">
        <f t="shared" si="146"/>
        <v>ordinario_s_ma</v>
      </c>
      <c r="G710" s="15" t="str">
        <f t="shared" si="147"/>
        <v>"30/11/2027": "ordinario_s_ma",</v>
      </c>
      <c r="H710" t="str">
        <f t="shared" si="148"/>
        <v/>
      </c>
    </row>
    <row r="711" spans="1:8">
      <c r="A711">
        <f t="shared" si="143"/>
        <v>2027</v>
      </c>
      <c r="B711" t="str">
        <f t="shared" si="144"/>
        <v>mi</v>
      </c>
      <c r="D711" t="s">
        <v>1496</v>
      </c>
      <c r="E711" s="14">
        <f t="shared" si="145"/>
        <v>46722</v>
      </c>
      <c r="F711" t="str">
        <f t="shared" si="146"/>
        <v>ordinario_s_mi</v>
      </c>
      <c r="G711" s="15" t="str">
        <f t="shared" si="147"/>
        <v>"01/12/2027": "ordinario_s_mi",</v>
      </c>
      <c r="H711" t="str">
        <f t="shared" si="148"/>
        <v/>
      </c>
    </row>
    <row r="712" spans="1:8">
      <c r="A712">
        <f t="shared" si="143"/>
        <v>2027</v>
      </c>
      <c r="B712" t="str">
        <f t="shared" si="144"/>
        <v>ju</v>
      </c>
      <c r="D712" t="s">
        <v>1496</v>
      </c>
      <c r="E712" s="14">
        <f t="shared" si="145"/>
        <v>46723</v>
      </c>
      <c r="F712" t="str">
        <f t="shared" si="146"/>
        <v>ordinario_s_ju</v>
      </c>
      <c r="G712" s="15" t="str">
        <f t="shared" si="147"/>
        <v>"02/12/2027": "ordinario_s_ju",</v>
      </c>
      <c r="H712" t="str">
        <f t="shared" si="148"/>
        <v/>
      </c>
    </row>
    <row r="713" spans="1:8">
      <c r="A713">
        <f t="shared" si="143"/>
        <v>2027</v>
      </c>
      <c r="B713" t="str">
        <f t="shared" si="144"/>
        <v>vi</v>
      </c>
      <c r="D713" t="s">
        <v>1496</v>
      </c>
      <c r="E713" s="14">
        <f t="shared" si="145"/>
        <v>46724</v>
      </c>
      <c r="F713" t="str">
        <f t="shared" si="146"/>
        <v>ordinario_s_vi</v>
      </c>
      <c r="G713" s="15" t="str">
        <f t="shared" si="147"/>
        <v>"03/12/2027": "ordinario_s_vi",</v>
      </c>
      <c r="H713" t="str">
        <f t="shared" si="148"/>
        <v/>
      </c>
    </row>
    <row r="714" spans="1:8">
      <c r="A714">
        <f t="shared" si="143"/>
        <v>2027</v>
      </c>
      <c r="B714" t="str">
        <f t="shared" si="144"/>
        <v>sa</v>
      </c>
      <c r="D714" t="s">
        <v>1496</v>
      </c>
      <c r="E714" s="14">
        <f t="shared" si="145"/>
        <v>46725</v>
      </c>
      <c r="F714" t="str">
        <f t="shared" si="146"/>
        <v>ordinario_s_sa</v>
      </c>
      <c r="G714" s="15" t="str">
        <f t="shared" si="147"/>
        <v>"04/12/2027": "ordinario_s_sa",</v>
      </c>
      <c r="H714" t="str">
        <f t="shared" si="148"/>
        <v/>
      </c>
    </row>
    <row r="715" spans="1:8">
      <c r="A715">
        <f t="shared" si="143"/>
        <v>2027</v>
      </c>
      <c r="B715" t="str">
        <f t="shared" si="144"/>
        <v>do</v>
      </c>
      <c r="D715" t="s">
        <v>1496</v>
      </c>
      <c r="E715" s="14">
        <f t="shared" si="145"/>
        <v>46726</v>
      </c>
      <c r="F715" t="str">
        <f t="shared" si="146"/>
        <v>ordinario_s_do</v>
      </c>
      <c r="G715" s="15" t="str">
        <f t="shared" si="147"/>
        <v>"05/12/2027": "ordinario_s_do",</v>
      </c>
      <c r="H715" t="str">
        <f t="shared" si="148"/>
        <v xml:space="preserve">// TIEMPO ORDINARIO SEMANA </v>
      </c>
    </row>
    <row r="716" spans="1:8">
      <c r="A716">
        <f t="shared" si="143"/>
        <v>2027</v>
      </c>
      <c r="B716" t="str">
        <f t="shared" si="144"/>
        <v>lu</v>
      </c>
      <c r="D716" t="s">
        <v>1496</v>
      </c>
      <c r="E716" s="14">
        <f t="shared" si="145"/>
        <v>46727</v>
      </c>
      <c r="F716" t="str">
        <f t="shared" si="146"/>
        <v>ordinario_s_lu</v>
      </c>
      <c r="G716" s="15" t="str">
        <f t="shared" si="147"/>
        <v>"06/12/2027": "ordinario_s_lu",</v>
      </c>
      <c r="H716" t="str">
        <f t="shared" si="148"/>
        <v/>
      </c>
    </row>
    <row r="717" spans="1:8">
      <c r="A717">
        <f t="shared" si="143"/>
        <v>2027</v>
      </c>
      <c r="B717" t="str">
        <f t="shared" si="144"/>
        <v>ma</v>
      </c>
      <c r="D717" t="s">
        <v>1496</v>
      </c>
      <c r="E717" s="14">
        <f t="shared" si="145"/>
        <v>46728</v>
      </c>
      <c r="F717" t="str">
        <f t="shared" si="146"/>
        <v>ordinario_s_ma</v>
      </c>
      <c r="G717" s="15" t="str">
        <f t="shared" si="147"/>
        <v>"07/12/2027": "ordinario_s_ma",</v>
      </c>
      <c r="H717" t="str">
        <f t="shared" si="148"/>
        <v/>
      </c>
    </row>
    <row r="718" spans="1:8">
      <c r="A718">
        <f t="shared" si="143"/>
        <v>2027</v>
      </c>
      <c r="B718" t="str">
        <f t="shared" si="144"/>
        <v>mi</v>
      </c>
      <c r="D718" t="s">
        <v>1496</v>
      </c>
      <c r="E718" s="14">
        <f t="shared" si="145"/>
        <v>46729</v>
      </c>
      <c r="F718" t="str">
        <f t="shared" si="146"/>
        <v>ordinario_s_mi</v>
      </c>
      <c r="G718" s="15" t="str">
        <f t="shared" si="147"/>
        <v>"08/12/2027": "ordinario_s_mi",</v>
      </c>
      <c r="H718" t="str">
        <f t="shared" si="148"/>
        <v/>
      </c>
    </row>
    <row r="719" spans="1:8">
      <c r="A719">
        <f t="shared" si="143"/>
        <v>2027</v>
      </c>
      <c r="B719" t="str">
        <f t="shared" si="144"/>
        <v>ju</v>
      </c>
      <c r="D719" t="s">
        <v>1496</v>
      </c>
      <c r="E719" s="14">
        <f t="shared" si="145"/>
        <v>46730</v>
      </c>
      <c r="F719" t="str">
        <f t="shared" si="146"/>
        <v>ordinario_s_ju</v>
      </c>
      <c r="G719" s="15" t="str">
        <f t="shared" si="147"/>
        <v>"09/12/2027": "ordinario_s_ju",</v>
      </c>
      <c r="H719" t="str">
        <f t="shared" si="148"/>
        <v/>
      </c>
    </row>
    <row r="720" spans="1:8">
      <c r="A720">
        <f t="shared" si="143"/>
        <v>2027</v>
      </c>
      <c r="B720" t="str">
        <f t="shared" si="144"/>
        <v>vi</v>
      </c>
      <c r="D720" t="s">
        <v>1496</v>
      </c>
      <c r="E720" s="14">
        <f t="shared" si="145"/>
        <v>46731</v>
      </c>
      <c r="F720" t="str">
        <f t="shared" si="146"/>
        <v>ordinario_s_vi</v>
      </c>
      <c r="G720" s="15" t="str">
        <f t="shared" si="147"/>
        <v>"10/12/2027": "ordinario_s_vi",</v>
      </c>
      <c r="H720" t="str">
        <f t="shared" si="148"/>
        <v/>
      </c>
    </row>
    <row r="721" spans="1:8">
      <c r="A721">
        <f t="shared" si="143"/>
        <v>2027</v>
      </c>
      <c r="B721" t="str">
        <f t="shared" si="144"/>
        <v>sa</v>
      </c>
      <c r="D721" t="s">
        <v>1496</v>
      </c>
      <c r="E721" s="14">
        <f t="shared" si="145"/>
        <v>46732</v>
      </c>
      <c r="F721" t="str">
        <f t="shared" si="146"/>
        <v>ordinario_s_sa</v>
      </c>
      <c r="G721" s="15" t="str">
        <f t="shared" si="147"/>
        <v>"11/12/2027": "ordinario_s_sa",</v>
      </c>
      <c r="H721" t="str">
        <f t="shared" si="148"/>
        <v/>
      </c>
    </row>
    <row r="722" spans="1:8">
      <c r="A722">
        <f t="shared" si="143"/>
        <v>2027</v>
      </c>
      <c r="B722" t="str">
        <f t="shared" si="144"/>
        <v>do</v>
      </c>
      <c r="D722" t="s">
        <v>1496</v>
      </c>
      <c r="E722" s="14">
        <f t="shared" si="145"/>
        <v>46733</v>
      </c>
      <c r="F722" t="str">
        <f t="shared" si="146"/>
        <v>ordinario_s_do</v>
      </c>
      <c r="G722" s="15" t="str">
        <f t="shared" si="147"/>
        <v>"12/12/2027": "ordinario_s_do",</v>
      </c>
      <c r="H722" t="str">
        <f t="shared" si="148"/>
        <v xml:space="preserve">// TIEMPO ORDINARIO SEMANA </v>
      </c>
    </row>
    <row r="723" spans="1:8">
      <c r="A723">
        <f t="shared" si="143"/>
        <v>2027</v>
      </c>
      <c r="B723" t="str">
        <f t="shared" si="144"/>
        <v>lu</v>
      </c>
      <c r="D723" t="s">
        <v>1496</v>
      </c>
      <c r="E723" s="14">
        <f t="shared" si="145"/>
        <v>46734</v>
      </c>
      <c r="F723" t="str">
        <f t="shared" si="146"/>
        <v>ordinario_s_lu</v>
      </c>
      <c r="G723" s="15" t="str">
        <f t="shared" si="147"/>
        <v>"13/12/2027": "ordinario_s_lu",</v>
      </c>
      <c r="H723" t="str">
        <f t="shared" si="148"/>
        <v/>
      </c>
    </row>
    <row r="724" spans="1:8">
      <c r="A724">
        <f t="shared" si="143"/>
        <v>2027</v>
      </c>
      <c r="B724" t="str">
        <f t="shared" si="144"/>
        <v>ma</v>
      </c>
      <c r="D724" t="s">
        <v>1496</v>
      </c>
      <c r="E724" s="14">
        <f t="shared" si="145"/>
        <v>46735</v>
      </c>
      <c r="F724" t="str">
        <f t="shared" si="146"/>
        <v>ordinario_s_ma</v>
      </c>
      <c r="G724" s="15" t="str">
        <f t="shared" si="147"/>
        <v>"14/12/2027": "ordinario_s_ma",</v>
      </c>
      <c r="H724" t="str">
        <f t="shared" si="148"/>
        <v/>
      </c>
    </row>
    <row r="725" spans="1:8">
      <c r="A725">
        <f t="shared" si="143"/>
        <v>2027</v>
      </c>
      <c r="B725" t="str">
        <f t="shared" si="144"/>
        <v>mi</v>
      </c>
      <c r="D725" t="s">
        <v>1496</v>
      </c>
      <c r="E725" s="14">
        <f t="shared" si="145"/>
        <v>46736</v>
      </c>
      <c r="F725" t="str">
        <f t="shared" si="146"/>
        <v>ordinario_s_mi</v>
      </c>
      <c r="G725" s="15" t="str">
        <f t="shared" si="147"/>
        <v>"15/12/2027": "ordinario_s_mi",</v>
      </c>
      <c r="H725" t="str">
        <f t="shared" si="148"/>
        <v/>
      </c>
    </row>
    <row r="726" spans="1:8">
      <c r="A726">
        <f t="shared" si="143"/>
        <v>2027</v>
      </c>
      <c r="B726" t="str">
        <f t="shared" si="144"/>
        <v>ju</v>
      </c>
      <c r="D726" t="s">
        <v>1496</v>
      </c>
      <c r="E726" s="14">
        <f t="shared" si="145"/>
        <v>46737</v>
      </c>
      <c r="F726" t="str">
        <f t="shared" si="146"/>
        <v>ordinario_s_ju</v>
      </c>
      <c r="G726" s="15" t="str">
        <f t="shared" si="147"/>
        <v>"16/12/2027": "ordinario_s_ju",</v>
      </c>
      <c r="H726" t="str">
        <f t="shared" si="148"/>
        <v/>
      </c>
    </row>
    <row r="727" spans="1:8">
      <c r="A727">
        <f t="shared" si="143"/>
        <v>2027</v>
      </c>
      <c r="B727" t="str">
        <f t="shared" si="144"/>
        <v>vi</v>
      </c>
      <c r="D727" t="s">
        <v>1496</v>
      </c>
      <c r="E727" s="14">
        <f t="shared" si="145"/>
        <v>46738</v>
      </c>
      <c r="F727" t="str">
        <f t="shared" si="146"/>
        <v>ordinario_s_vi</v>
      </c>
      <c r="G727" s="15" t="str">
        <f t="shared" si="147"/>
        <v>"17/12/2027": "ordinario_s_vi",</v>
      </c>
      <c r="H727" t="str">
        <f t="shared" si="148"/>
        <v/>
      </c>
    </row>
    <row r="728" spans="1:8">
      <c r="A728">
        <f t="shared" si="143"/>
        <v>2027</v>
      </c>
      <c r="B728" t="str">
        <f t="shared" si="144"/>
        <v>sa</v>
      </c>
      <c r="D728" t="s">
        <v>1496</v>
      </c>
      <c r="E728" s="14">
        <f t="shared" si="145"/>
        <v>46739</v>
      </c>
      <c r="F728" t="str">
        <f t="shared" si="146"/>
        <v>ordinario_s_sa</v>
      </c>
      <c r="G728" s="15" t="str">
        <f t="shared" si="147"/>
        <v>"18/12/2027": "ordinario_s_sa",</v>
      </c>
      <c r="H728" t="str">
        <f t="shared" si="148"/>
        <v/>
      </c>
    </row>
    <row r="729" spans="1:8">
      <c r="A729">
        <f t="shared" si="143"/>
        <v>2027</v>
      </c>
      <c r="B729" t="str">
        <f t="shared" si="144"/>
        <v>do</v>
      </c>
      <c r="D729" t="s">
        <v>1496</v>
      </c>
      <c r="E729" s="14">
        <f t="shared" si="145"/>
        <v>46740</v>
      </c>
      <c r="F729" t="str">
        <f t="shared" si="146"/>
        <v>ordinario_s_do</v>
      </c>
      <c r="G729" s="15" t="str">
        <f t="shared" si="147"/>
        <v>"19/12/2027": "ordinario_s_do",</v>
      </c>
      <c r="H729" t="str">
        <f t="shared" si="148"/>
        <v xml:space="preserve">// TIEMPO ORDINARIO SEMANA </v>
      </c>
    </row>
    <row r="730" spans="1:8">
      <c r="A730">
        <f t="shared" si="143"/>
        <v>2027</v>
      </c>
      <c r="B730" t="str">
        <f t="shared" si="144"/>
        <v>lu</v>
      </c>
      <c r="D730" t="s">
        <v>1496</v>
      </c>
      <c r="E730" s="14">
        <f t="shared" si="145"/>
        <v>46741</v>
      </c>
      <c r="F730" t="str">
        <f t="shared" si="146"/>
        <v>ordinario_s_lu</v>
      </c>
      <c r="G730" s="15" t="str">
        <f t="shared" si="147"/>
        <v>"20/12/2027": "ordinario_s_lu",</v>
      </c>
      <c r="H730" t="str">
        <f t="shared" si="148"/>
        <v/>
      </c>
    </row>
    <row r="731" spans="1:8">
      <c r="A731">
        <f t="shared" si="143"/>
        <v>2027</v>
      </c>
      <c r="B731" t="str">
        <f t="shared" si="144"/>
        <v>ma</v>
      </c>
      <c r="D731" t="s">
        <v>1496</v>
      </c>
      <c r="E731" s="14">
        <f t="shared" si="145"/>
        <v>46742</v>
      </c>
      <c r="F731" t="str">
        <f t="shared" si="146"/>
        <v>ordinario_s_ma</v>
      </c>
      <c r="G731" s="15" t="str">
        <f t="shared" si="147"/>
        <v>"21/12/2027": "ordinario_s_ma",</v>
      </c>
      <c r="H731" t="str">
        <f t="shared" si="148"/>
        <v/>
      </c>
    </row>
    <row r="732" spans="1:8">
      <c r="A732">
        <f t="shared" si="143"/>
        <v>2027</v>
      </c>
      <c r="B732" t="str">
        <f t="shared" si="144"/>
        <v>mi</v>
      </c>
      <c r="D732" t="s">
        <v>1496</v>
      </c>
      <c r="E732" s="14">
        <f t="shared" si="145"/>
        <v>46743</v>
      </c>
      <c r="F732" t="str">
        <f t="shared" si="146"/>
        <v>ordinario_s_mi</v>
      </c>
      <c r="G732" s="15" t="str">
        <f t="shared" si="147"/>
        <v>"22/12/2027": "ordinario_s_mi",</v>
      </c>
      <c r="H732" t="str">
        <f t="shared" si="148"/>
        <v/>
      </c>
    </row>
    <row r="733" spans="1:8">
      <c r="A733">
        <f t="shared" si="143"/>
        <v>2027</v>
      </c>
      <c r="B733" t="str">
        <f t="shared" si="144"/>
        <v>ju</v>
      </c>
      <c r="D733" t="s">
        <v>1496</v>
      </c>
      <c r="E733" s="14">
        <f t="shared" si="145"/>
        <v>46744</v>
      </c>
      <c r="F733" t="str">
        <f t="shared" si="146"/>
        <v>ordinario_s_ju</v>
      </c>
      <c r="G733" s="15" t="str">
        <f t="shared" si="147"/>
        <v>"23/12/2027": "ordinario_s_ju",</v>
      </c>
      <c r="H733" t="str">
        <f t="shared" si="148"/>
        <v/>
      </c>
    </row>
    <row r="734" spans="1:8">
      <c r="A734">
        <f t="shared" si="143"/>
        <v>2027</v>
      </c>
      <c r="B734" t="str">
        <f t="shared" si="144"/>
        <v>vi</v>
      </c>
      <c r="D734" t="s">
        <v>1496</v>
      </c>
      <c r="E734" s="14">
        <f t="shared" si="145"/>
        <v>46745</v>
      </c>
      <c r="F734" t="str">
        <f t="shared" si="146"/>
        <v>ordinario_s_vi</v>
      </c>
      <c r="G734" s="15" t="str">
        <f t="shared" si="147"/>
        <v>"24/12/2027": "ordinario_s_vi",</v>
      </c>
      <c r="H734" t="str">
        <f t="shared" si="148"/>
        <v/>
      </c>
    </row>
    <row r="735" spans="1:8">
      <c r="A735">
        <f t="shared" si="143"/>
        <v>2027</v>
      </c>
      <c r="B735" t="str">
        <f t="shared" si="144"/>
        <v>sa</v>
      </c>
      <c r="D735" t="s">
        <v>1496</v>
      </c>
      <c r="E735" s="14">
        <f t="shared" si="145"/>
        <v>46746</v>
      </c>
      <c r="F735" t="str">
        <f t="shared" si="146"/>
        <v>ordinario_s_sa</v>
      </c>
      <c r="G735" s="15" t="str">
        <f t="shared" si="147"/>
        <v>"25/12/2027": "ordinario_s_sa",</v>
      </c>
      <c r="H735" t="str">
        <f t="shared" si="148"/>
        <v/>
      </c>
    </row>
    <row r="736" spans="1:8">
      <c r="A736">
        <f t="shared" si="143"/>
        <v>2027</v>
      </c>
      <c r="B736" t="str">
        <f t="shared" si="144"/>
        <v>do</v>
      </c>
      <c r="D736" t="s">
        <v>1496</v>
      </c>
      <c r="E736" s="14">
        <f t="shared" si="145"/>
        <v>46747</v>
      </c>
      <c r="F736" t="str">
        <f t="shared" si="146"/>
        <v>ordinario_s_do</v>
      </c>
      <c r="G736" s="15" t="str">
        <f t="shared" si="147"/>
        <v>"26/12/2027": "ordinario_s_do",</v>
      </c>
      <c r="H736" t="str">
        <f t="shared" si="148"/>
        <v xml:space="preserve">// TIEMPO ORDINARIO SEMANA </v>
      </c>
    </row>
    <row r="737" spans="1:8">
      <c r="A737">
        <f t="shared" ref="A737:A748" si="149">YEAR(E737)</f>
        <v>2027</v>
      </c>
      <c r="B737" t="str">
        <f t="shared" si="144"/>
        <v>lu</v>
      </c>
      <c r="D737" t="s">
        <v>1496</v>
      </c>
      <c r="E737" s="14">
        <f t="shared" si="145"/>
        <v>46748</v>
      </c>
      <c r="F737" t="str">
        <f t="shared" si="146"/>
        <v>ordinario_s_lu</v>
      </c>
      <c r="G737" s="15" t="str">
        <f t="shared" si="147"/>
        <v>"27/12/2027": "ordinario_s_lu",</v>
      </c>
      <c r="H737" t="str">
        <f t="shared" si="148"/>
        <v/>
      </c>
    </row>
    <row r="738" spans="1:8">
      <c r="A738">
        <f t="shared" si="149"/>
        <v>2027</v>
      </c>
      <c r="B738" t="str">
        <f t="shared" ref="B738:B751" si="150">CHOOSE(WEEKDAY(E738), "do", "lu", "ma", "mi", "ju", "vi", "sa")</f>
        <v>ma</v>
      </c>
      <c r="D738" t="s">
        <v>1496</v>
      </c>
      <c r="E738" s="14">
        <f t="shared" ref="E738:E751" si="151">+E737+1</f>
        <v>46749</v>
      </c>
      <c r="F738" t="str">
        <f t="shared" ref="F738:F751" si="152">_xlfn.CONCAT(D738,"_s",C738,"_",B738)</f>
        <v>ordinario_s_ma</v>
      </c>
      <c r="G738" s="15" t="str">
        <f t="shared" ref="G738:G751" si="153">"""" &amp; TEXT(E738, "dd/mm/yyyy") &amp; """: """ &amp; F738 &amp; ""","</f>
        <v>"28/12/2027": "ordinario_s_ma",</v>
      </c>
      <c r="H738" t="str">
        <f t="shared" ref="H738:H751" si="154">IF(B738="do", "// TIEMPO " &amp; UPPER(D738) &amp; " SEMANA " &amp; C738, "")</f>
        <v/>
      </c>
    </row>
    <row r="739" spans="1:8">
      <c r="A739">
        <f t="shared" si="149"/>
        <v>2027</v>
      </c>
      <c r="B739" t="str">
        <f t="shared" si="150"/>
        <v>mi</v>
      </c>
      <c r="D739" t="s">
        <v>1496</v>
      </c>
      <c r="E739" s="14">
        <f t="shared" si="151"/>
        <v>46750</v>
      </c>
      <c r="F739" t="str">
        <f t="shared" si="152"/>
        <v>ordinario_s_mi</v>
      </c>
      <c r="G739" s="15" t="str">
        <f t="shared" si="153"/>
        <v>"29/12/2027": "ordinario_s_mi",</v>
      </c>
      <c r="H739" t="str">
        <f t="shared" si="154"/>
        <v/>
      </c>
    </row>
    <row r="740" spans="1:8">
      <c r="A740">
        <f t="shared" si="149"/>
        <v>2027</v>
      </c>
      <c r="B740" t="str">
        <f t="shared" si="150"/>
        <v>ju</v>
      </c>
      <c r="D740" t="s">
        <v>1496</v>
      </c>
      <c r="E740" s="14">
        <f t="shared" si="151"/>
        <v>46751</v>
      </c>
      <c r="F740" t="str">
        <f t="shared" si="152"/>
        <v>ordinario_s_ju</v>
      </c>
      <c r="G740" s="15" t="str">
        <f t="shared" si="153"/>
        <v>"30/12/2027": "ordinario_s_ju",</v>
      </c>
      <c r="H740" t="str">
        <f t="shared" si="154"/>
        <v/>
      </c>
    </row>
    <row r="741" spans="1:8">
      <c r="A741">
        <f t="shared" si="149"/>
        <v>2027</v>
      </c>
      <c r="B741" t="str">
        <f t="shared" si="150"/>
        <v>vi</v>
      </c>
      <c r="D741" t="s">
        <v>1496</v>
      </c>
      <c r="E741" s="14">
        <f t="shared" si="151"/>
        <v>46752</v>
      </c>
      <c r="F741" t="str">
        <f t="shared" si="152"/>
        <v>ordinario_s_vi</v>
      </c>
      <c r="G741" s="15" t="str">
        <f t="shared" si="153"/>
        <v>"31/12/2027": "ordinario_s_vi",</v>
      </c>
      <c r="H741" t="str">
        <f t="shared" si="154"/>
        <v/>
      </c>
    </row>
    <row r="742" spans="1:8">
      <c r="A742">
        <f t="shared" si="149"/>
        <v>2028</v>
      </c>
      <c r="B742" t="str">
        <f t="shared" si="150"/>
        <v>sa</v>
      </c>
      <c r="D742" t="s">
        <v>1496</v>
      </c>
      <c r="E742" s="14">
        <f t="shared" si="151"/>
        <v>46753</v>
      </c>
      <c r="F742" t="str">
        <f t="shared" si="152"/>
        <v>ordinario_s_sa</v>
      </c>
      <c r="G742" s="15" t="str">
        <f t="shared" si="153"/>
        <v>"01/01/2028": "ordinario_s_sa",</v>
      </c>
      <c r="H742" t="str">
        <f t="shared" si="154"/>
        <v/>
      </c>
    </row>
    <row r="743" spans="1:8">
      <c r="A743">
        <f t="shared" si="149"/>
        <v>2028</v>
      </c>
      <c r="B743" t="str">
        <f t="shared" si="150"/>
        <v>do</v>
      </c>
      <c r="D743" t="s">
        <v>1496</v>
      </c>
      <c r="E743" s="14">
        <f t="shared" si="151"/>
        <v>46754</v>
      </c>
      <c r="F743" t="str">
        <f t="shared" si="152"/>
        <v>ordinario_s_do</v>
      </c>
      <c r="G743" s="15" t="str">
        <f t="shared" si="153"/>
        <v>"02/01/2028": "ordinario_s_do",</v>
      </c>
      <c r="H743" t="str">
        <f t="shared" si="154"/>
        <v xml:space="preserve">// TIEMPO ORDINARIO SEMANA </v>
      </c>
    </row>
    <row r="744" spans="1:8">
      <c r="A744">
        <f t="shared" si="149"/>
        <v>2028</v>
      </c>
      <c r="B744" t="str">
        <f t="shared" si="150"/>
        <v>lu</v>
      </c>
      <c r="D744" t="s">
        <v>1496</v>
      </c>
      <c r="E744" s="14">
        <f t="shared" si="151"/>
        <v>46755</v>
      </c>
      <c r="F744" t="str">
        <f t="shared" si="152"/>
        <v>ordinario_s_lu</v>
      </c>
      <c r="G744" s="15" t="str">
        <f t="shared" si="153"/>
        <v>"03/01/2028": "ordinario_s_lu",</v>
      </c>
      <c r="H744" t="str">
        <f t="shared" si="154"/>
        <v/>
      </c>
    </row>
    <row r="745" spans="1:8">
      <c r="A745">
        <f t="shared" si="149"/>
        <v>2028</v>
      </c>
      <c r="B745" t="str">
        <f t="shared" si="150"/>
        <v>ma</v>
      </c>
      <c r="D745" t="s">
        <v>1496</v>
      </c>
      <c r="E745" s="14">
        <f t="shared" si="151"/>
        <v>46756</v>
      </c>
      <c r="F745" t="str">
        <f t="shared" si="152"/>
        <v>ordinario_s_ma</v>
      </c>
      <c r="G745" s="15" t="str">
        <f t="shared" si="153"/>
        <v>"04/01/2028": "ordinario_s_ma",</v>
      </c>
      <c r="H745" t="str">
        <f t="shared" si="154"/>
        <v/>
      </c>
    </row>
    <row r="746" spans="1:8">
      <c r="A746">
        <f t="shared" si="149"/>
        <v>2028</v>
      </c>
      <c r="B746" t="str">
        <f t="shared" si="150"/>
        <v>mi</v>
      </c>
      <c r="D746" t="s">
        <v>1496</v>
      </c>
      <c r="E746" s="14">
        <f t="shared" si="151"/>
        <v>46757</v>
      </c>
      <c r="F746" t="str">
        <f t="shared" si="152"/>
        <v>ordinario_s_mi</v>
      </c>
      <c r="G746" s="15" t="str">
        <f t="shared" si="153"/>
        <v>"05/01/2028": "ordinario_s_mi",</v>
      </c>
      <c r="H746" t="str">
        <f t="shared" si="154"/>
        <v/>
      </c>
    </row>
    <row r="747" spans="1:8">
      <c r="A747">
        <f t="shared" si="149"/>
        <v>2028</v>
      </c>
      <c r="B747" t="str">
        <f t="shared" si="150"/>
        <v>ju</v>
      </c>
      <c r="D747" t="s">
        <v>1496</v>
      </c>
      <c r="E747" s="14">
        <f t="shared" si="151"/>
        <v>46758</v>
      </c>
      <c r="F747" t="str">
        <f t="shared" si="152"/>
        <v>ordinario_s_ju</v>
      </c>
      <c r="G747" s="15" t="str">
        <f t="shared" si="153"/>
        <v>"06/01/2028": "ordinario_s_ju",</v>
      </c>
      <c r="H747" t="str">
        <f t="shared" si="154"/>
        <v/>
      </c>
    </row>
    <row r="748" spans="1:8">
      <c r="A748">
        <f>YEAR(E748)</f>
        <v>2028</v>
      </c>
      <c r="B748" t="str">
        <f t="shared" si="150"/>
        <v>vi</v>
      </c>
      <c r="D748" t="s">
        <v>1496</v>
      </c>
      <c r="E748" s="14">
        <f t="shared" si="151"/>
        <v>46759</v>
      </c>
      <c r="F748" t="str">
        <f t="shared" si="152"/>
        <v>ordinario_s_vi</v>
      </c>
      <c r="G748" s="15" t="str">
        <f t="shared" si="153"/>
        <v>"07/01/2028": "ordinario_s_vi",</v>
      </c>
      <c r="H748" t="str">
        <f t="shared" si="154"/>
        <v/>
      </c>
    </row>
    <row r="749" spans="1:8">
      <c r="A749">
        <f t="shared" ref="A749:A751" si="155">YEAR(E749)</f>
        <v>2028</v>
      </c>
      <c r="B749" t="str">
        <f t="shared" si="150"/>
        <v>sa</v>
      </c>
      <c r="D749" t="s">
        <v>1496</v>
      </c>
      <c r="E749" s="14">
        <f t="shared" si="151"/>
        <v>46760</v>
      </c>
      <c r="F749" t="str">
        <f t="shared" si="152"/>
        <v>ordinario_s_sa</v>
      </c>
      <c r="G749" s="15" t="str">
        <f t="shared" si="153"/>
        <v>"08/01/2028": "ordinario_s_sa",</v>
      </c>
      <c r="H749" t="str">
        <f t="shared" si="154"/>
        <v/>
      </c>
    </row>
    <row r="750" spans="1:8">
      <c r="A750">
        <f t="shared" si="155"/>
        <v>2028</v>
      </c>
      <c r="B750" t="str">
        <f t="shared" si="150"/>
        <v>do</v>
      </c>
      <c r="D750" t="s">
        <v>1496</v>
      </c>
      <c r="E750" s="14">
        <f t="shared" si="151"/>
        <v>46761</v>
      </c>
      <c r="F750" t="str">
        <f t="shared" si="152"/>
        <v>ordinario_s_do</v>
      </c>
      <c r="G750" s="15" t="str">
        <f t="shared" si="153"/>
        <v>"09/01/2028": "ordinario_s_do",</v>
      </c>
      <c r="H750" t="str">
        <f t="shared" si="154"/>
        <v xml:space="preserve">// TIEMPO ORDINARIO SEMANA </v>
      </c>
    </row>
    <row r="751" spans="1:8">
      <c r="A751">
        <f t="shared" si="155"/>
        <v>2028</v>
      </c>
      <c r="B751" t="str">
        <f t="shared" si="150"/>
        <v>lu</v>
      </c>
      <c r="D751" t="s">
        <v>1496</v>
      </c>
      <c r="E751" s="14">
        <f t="shared" si="151"/>
        <v>46762</v>
      </c>
      <c r="F751" t="str">
        <f t="shared" si="152"/>
        <v>ordinario_s_lu</v>
      </c>
      <c r="G751" s="15" t="str">
        <f t="shared" si="153"/>
        <v>"10/01/2028": "ordinario_s_lu",</v>
      </c>
      <c r="H751" t="str">
        <f t="shared" si="154"/>
        <v/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E7A43D3-4F1C-4818-9FF1-74C19FAB5876}">
          <x14:formula1>
            <xm:f>Resumen!$A$2:$A$8</xm:f>
          </x14:formula1>
          <xm:sqref>D4:D386</xm:sqref>
        </x14:dataValidation>
        <x14:dataValidation type="list" allowBlank="1" showInputMessage="1" showErrorMessage="1" xr:uid="{8150CF49-3DC5-4186-8B5D-2E0A2F8F7C7E}">
          <x14:formula1>
            <xm:f>Resumen!$A$2:$A$14</xm:f>
          </x14:formula1>
          <xm:sqref>D387:D751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C50CC-0950-4C80-A067-6CCB3F4EAE54}">
  <dimension ref="A1:L114"/>
  <sheetViews>
    <sheetView zoomScale="145" zoomScaleNormal="145" workbookViewId="0"/>
  </sheetViews>
  <sheetFormatPr defaultRowHeight="15"/>
  <cols>
    <col min="1" max="1" width="12.42578125" bestFit="1" customWidth="1"/>
    <col min="2" max="2" width="10.85546875" customWidth="1"/>
    <col min="3" max="3" width="19.42578125" bestFit="1" customWidth="1"/>
    <col min="4" max="4" width="31.140625" bestFit="1" customWidth="1"/>
    <col min="5" max="5" width="37.5703125" bestFit="1" customWidth="1"/>
    <col min="6" max="6" width="15" customWidth="1"/>
    <col min="7" max="7" width="27.42578125" bestFit="1" customWidth="1"/>
    <col min="8" max="8" width="8.140625" customWidth="1"/>
    <col min="9" max="10" width="33.85546875" customWidth="1"/>
  </cols>
  <sheetData>
    <row r="1" spans="1:10">
      <c r="A1" t="s">
        <v>30</v>
      </c>
      <c r="B1" t="s">
        <v>1</v>
      </c>
      <c r="C1" t="s">
        <v>3</v>
      </c>
      <c r="D1" t="s">
        <v>4</v>
      </c>
      <c r="E1" t="s">
        <v>5</v>
      </c>
      <c r="F1" t="s">
        <v>7</v>
      </c>
      <c r="I1" t="s">
        <v>8</v>
      </c>
    </row>
    <row r="2" spans="1:10">
      <c r="A2" t="s">
        <v>31</v>
      </c>
      <c r="B2" t="s">
        <v>0</v>
      </c>
      <c r="C2" t="s">
        <v>2</v>
      </c>
      <c r="D2" t="s">
        <v>11</v>
      </c>
      <c r="E2" t="s">
        <v>10</v>
      </c>
      <c r="F2" t="s">
        <v>6</v>
      </c>
      <c r="G2" t="str">
        <f t="shared" ref="G2:G5" si="0">IF(J2="",I2,_xlfn.CONCAT(I2," / ",J2))</f>
        <v>Mateo 24, 37-44</v>
      </c>
      <c r="I2" t="s">
        <v>9</v>
      </c>
    </row>
    <row r="3" spans="1:10">
      <c r="A3" t="s">
        <v>31</v>
      </c>
      <c r="B3" t="s">
        <v>13</v>
      </c>
      <c r="C3" t="s">
        <v>12</v>
      </c>
      <c r="D3" t="s">
        <v>14</v>
      </c>
      <c r="E3" t="s">
        <v>15</v>
      </c>
      <c r="F3" t="s">
        <v>16</v>
      </c>
      <c r="G3" t="str">
        <f t="shared" si="0"/>
        <v>Mateo: 3, 1-12</v>
      </c>
      <c r="I3" t="s">
        <v>17</v>
      </c>
    </row>
    <row r="4" spans="1:10">
      <c r="A4" t="s">
        <v>31</v>
      </c>
      <c r="B4" t="s">
        <v>19</v>
      </c>
      <c r="C4" t="s">
        <v>18</v>
      </c>
      <c r="D4" t="s">
        <v>20</v>
      </c>
      <c r="E4" t="s">
        <v>21</v>
      </c>
      <c r="F4" t="s">
        <v>22</v>
      </c>
      <c r="G4" t="str">
        <f t="shared" si="0"/>
        <v>Mateo 11, 2-11</v>
      </c>
      <c r="I4" t="s">
        <v>23</v>
      </c>
    </row>
    <row r="5" spans="1:10">
      <c r="A5" t="s">
        <v>31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tr">
        <f t="shared" si="0"/>
        <v>Mateo 1, 18-24</v>
      </c>
      <c r="I5" t="s">
        <v>29</v>
      </c>
    </row>
    <row r="6" spans="1:10">
      <c r="A6" t="s">
        <v>32</v>
      </c>
      <c r="B6" t="s">
        <v>33</v>
      </c>
      <c r="C6" t="s">
        <v>34</v>
      </c>
      <c r="D6" t="s">
        <v>35</v>
      </c>
      <c r="E6" t="s">
        <v>36</v>
      </c>
      <c r="F6" t="s">
        <v>38</v>
      </c>
      <c r="G6" t="str">
        <f>IF(J6="",I6,_xlfn.CONCAT(I6," / ",J6))</f>
        <v>Mateo 1, 1-25 / Mateo 1, 18-25</v>
      </c>
      <c r="I6" t="s">
        <v>37</v>
      </c>
      <c r="J6" t="s">
        <v>39</v>
      </c>
    </row>
    <row r="7" spans="1:10">
      <c r="A7" t="s">
        <v>32</v>
      </c>
      <c r="B7" t="s">
        <v>40</v>
      </c>
      <c r="C7" t="s">
        <v>41</v>
      </c>
      <c r="D7" t="s">
        <v>42</v>
      </c>
      <c r="E7" t="s">
        <v>43</v>
      </c>
      <c r="F7" t="s">
        <v>44</v>
      </c>
      <c r="G7" t="str">
        <f t="shared" ref="G7:G69" si="1">IF(J7="",I7,_xlfn.CONCAT(I7," / ",J7))</f>
        <v>Lucas 2, 1-14</v>
      </c>
      <c r="I7" t="s">
        <v>45</v>
      </c>
    </row>
    <row r="8" spans="1:10">
      <c r="A8" t="s">
        <v>32</v>
      </c>
      <c r="B8" t="s">
        <v>46</v>
      </c>
      <c r="C8" t="s">
        <v>47</v>
      </c>
      <c r="D8" t="s">
        <v>48</v>
      </c>
      <c r="E8" t="s">
        <v>49</v>
      </c>
      <c r="F8" t="s">
        <v>50</v>
      </c>
      <c r="G8" t="str">
        <f t="shared" si="1"/>
        <v>Lucas 2, 15-20</v>
      </c>
      <c r="I8" t="s">
        <v>51</v>
      </c>
    </row>
    <row r="9" spans="1:10">
      <c r="A9" t="s">
        <v>32</v>
      </c>
      <c r="B9" t="s">
        <v>52</v>
      </c>
      <c r="C9" t="s">
        <v>53</v>
      </c>
      <c r="D9" t="s">
        <v>54</v>
      </c>
      <c r="E9" t="s">
        <v>55</v>
      </c>
      <c r="F9" t="s">
        <v>56</v>
      </c>
      <c r="G9" t="str">
        <f t="shared" si="1"/>
        <v>Juan 1, 1-18 / Juan 1, 1-5. 9-14</v>
      </c>
      <c r="I9" t="s">
        <v>57</v>
      </c>
      <c r="J9" t="s">
        <v>58</v>
      </c>
    </row>
    <row r="10" spans="1:10">
      <c r="A10" t="s">
        <v>31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tr">
        <f t="shared" si="1"/>
        <v>Mateo 2, 13-15. 19-23</v>
      </c>
      <c r="I10" t="s">
        <v>64</v>
      </c>
    </row>
    <row r="11" spans="1:10">
      <c r="A11" t="s">
        <v>66</v>
      </c>
      <c r="B11" t="s">
        <v>67</v>
      </c>
      <c r="C11" t="s">
        <v>65</v>
      </c>
      <c r="D11" t="s">
        <v>68</v>
      </c>
      <c r="E11" t="s">
        <v>69</v>
      </c>
      <c r="F11" t="s">
        <v>70</v>
      </c>
      <c r="G11" t="str">
        <f t="shared" si="1"/>
        <v>Lucas 2, 16-21</v>
      </c>
      <c r="I11" t="s">
        <v>71</v>
      </c>
    </row>
    <row r="12" spans="1:10">
      <c r="A12" t="s">
        <v>32</v>
      </c>
      <c r="B12" t="s">
        <v>72</v>
      </c>
      <c r="C12" t="s">
        <v>73</v>
      </c>
      <c r="D12" t="s">
        <v>74</v>
      </c>
      <c r="E12" t="s">
        <v>75</v>
      </c>
      <c r="F12" t="s">
        <v>76</v>
      </c>
      <c r="G12" t="str">
        <f t="shared" si="1"/>
        <v>Juan 1, 1-18 / Juan 1, 1-5. 9-14</v>
      </c>
      <c r="I12" t="s">
        <v>57</v>
      </c>
      <c r="J12" t="s">
        <v>58</v>
      </c>
    </row>
    <row r="13" spans="1:10">
      <c r="A13" t="s">
        <v>78</v>
      </c>
      <c r="B13" t="s">
        <v>77</v>
      </c>
      <c r="C13" t="s">
        <v>79</v>
      </c>
      <c r="D13" t="s">
        <v>80</v>
      </c>
      <c r="E13" t="s">
        <v>81</v>
      </c>
      <c r="F13" t="s">
        <v>93</v>
      </c>
      <c r="G13" t="str">
        <f t="shared" si="1"/>
        <v>Mateo 2, 1-12</v>
      </c>
      <c r="I13" t="s">
        <v>82</v>
      </c>
    </row>
    <row r="14" spans="1:10">
      <c r="A14" t="s">
        <v>31</v>
      </c>
      <c r="B14" t="s">
        <v>83</v>
      </c>
      <c r="C14" t="s">
        <v>84</v>
      </c>
      <c r="D14" t="s">
        <v>85</v>
      </c>
      <c r="E14" t="s">
        <v>86</v>
      </c>
      <c r="F14" t="s">
        <v>87</v>
      </c>
      <c r="G14" t="str">
        <f t="shared" si="1"/>
        <v>Mateo 3, 13-17</v>
      </c>
      <c r="I14" t="s">
        <v>88</v>
      </c>
    </row>
    <row r="15" spans="1:10">
      <c r="A15" t="s">
        <v>31</v>
      </c>
      <c r="B15" t="s">
        <v>89</v>
      </c>
      <c r="C15" t="s">
        <v>90</v>
      </c>
      <c r="D15" t="s">
        <v>91</v>
      </c>
      <c r="E15" t="s">
        <v>92</v>
      </c>
      <c r="F15" t="s">
        <v>94</v>
      </c>
      <c r="G15" t="str">
        <f t="shared" si="1"/>
        <v>Mateo 4, 1-11</v>
      </c>
      <c r="I15" t="s">
        <v>95</v>
      </c>
    </row>
    <row r="16" spans="1:10">
      <c r="A16" t="s">
        <v>31</v>
      </c>
      <c r="B16" t="s">
        <v>96</v>
      </c>
      <c r="C16" t="s">
        <v>97</v>
      </c>
      <c r="D16" t="s">
        <v>98</v>
      </c>
      <c r="E16" t="s">
        <v>99</v>
      </c>
      <c r="F16" t="s">
        <v>100</v>
      </c>
      <c r="G16" t="str">
        <f t="shared" si="1"/>
        <v>Mateo 17, 1-9</v>
      </c>
      <c r="I16" t="s">
        <v>101</v>
      </c>
    </row>
    <row r="17" spans="1:10">
      <c r="A17" t="s">
        <v>31</v>
      </c>
      <c r="B17" t="s">
        <v>102</v>
      </c>
      <c r="C17" t="s">
        <v>103</v>
      </c>
      <c r="D17" t="s">
        <v>104</v>
      </c>
      <c r="E17" t="s">
        <v>105</v>
      </c>
      <c r="F17" t="s">
        <v>106</v>
      </c>
      <c r="G17" t="str">
        <f t="shared" si="1"/>
        <v>Juan 4, 5-42 / Juan 4, 5-15. 19b-26. 39a. 40-42</v>
      </c>
      <c r="I17" t="s">
        <v>107</v>
      </c>
      <c r="J17" t="s">
        <v>108</v>
      </c>
    </row>
    <row r="18" spans="1:10">
      <c r="A18" t="s">
        <v>31</v>
      </c>
      <c r="B18" t="s">
        <v>109</v>
      </c>
      <c r="C18" t="s">
        <v>110</v>
      </c>
      <c r="D18" t="s">
        <v>111</v>
      </c>
      <c r="E18" t="s">
        <v>112</v>
      </c>
      <c r="F18" t="s">
        <v>113</v>
      </c>
      <c r="G18" t="str">
        <f t="shared" si="1"/>
        <v>Juan 9, 1-41 / Juan 9, 1. 6-9. 13-17. 34-38</v>
      </c>
      <c r="I18" t="s">
        <v>114</v>
      </c>
      <c r="J18" t="s">
        <v>115</v>
      </c>
    </row>
    <row r="19" spans="1:10">
      <c r="A19" t="s">
        <v>31</v>
      </c>
      <c r="B19" t="s">
        <v>116</v>
      </c>
      <c r="C19" t="s">
        <v>117</v>
      </c>
      <c r="D19" t="s">
        <v>118</v>
      </c>
      <c r="E19" t="s">
        <v>119</v>
      </c>
      <c r="F19" t="s">
        <v>120</v>
      </c>
      <c r="G19" t="str">
        <f t="shared" si="1"/>
        <v>Juan 11, 1-45 / Juan 11, 3-7. 17. 20-27. 33b-45</v>
      </c>
      <c r="I19" t="s">
        <v>121</v>
      </c>
      <c r="J19" t="s">
        <v>122</v>
      </c>
    </row>
    <row r="20" spans="1:10">
      <c r="A20" t="s">
        <v>31</v>
      </c>
      <c r="B20" t="s">
        <v>123</v>
      </c>
      <c r="C20" t="s">
        <v>124</v>
      </c>
      <c r="D20" t="s">
        <v>125</v>
      </c>
      <c r="E20" t="s">
        <v>126</v>
      </c>
      <c r="F20" t="s">
        <v>127</v>
      </c>
      <c r="G20" t="str">
        <f t="shared" si="1"/>
        <v>Mateo 26, 14—27, 66</v>
      </c>
      <c r="I20" t="s">
        <v>128</v>
      </c>
    </row>
    <row r="21" spans="1:10">
      <c r="A21" t="s">
        <v>32</v>
      </c>
      <c r="B21" t="s">
        <v>129</v>
      </c>
      <c r="C21" t="s">
        <v>130</v>
      </c>
      <c r="D21" t="s">
        <v>131</v>
      </c>
      <c r="E21" t="s">
        <v>132</v>
      </c>
      <c r="F21" t="s">
        <v>133</v>
      </c>
      <c r="G21" t="str">
        <f t="shared" si="1"/>
        <v>Juan 13, 1-15</v>
      </c>
      <c r="I21" t="s">
        <v>134</v>
      </c>
    </row>
    <row r="22" spans="1:10">
      <c r="A22" t="s">
        <v>32</v>
      </c>
      <c r="B22" t="s">
        <v>135</v>
      </c>
      <c r="C22" t="s">
        <v>136</v>
      </c>
      <c r="D22" t="s">
        <v>137</v>
      </c>
      <c r="E22" t="s">
        <v>138</v>
      </c>
      <c r="F22" t="s">
        <v>127</v>
      </c>
      <c r="G22" t="str">
        <f t="shared" si="1"/>
        <v>Juan 18, 1—19, 42</v>
      </c>
      <c r="I22" t="s">
        <v>139</v>
      </c>
    </row>
    <row r="23" spans="1:10">
      <c r="A23" t="s">
        <v>31</v>
      </c>
      <c r="B23" t="s">
        <v>140</v>
      </c>
      <c r="C23" t="s">
        <v>141</v>
      </c>
      <c r="G23">
        <f t="shared" si="1"/>
        <v>0</v>
      </c>
    </row>
    <row r="24" spans="1:10">
      <c r="A24" t="s">
        <v>32</v>
      </c>
      <c r="B24" t="s">
        <v>142</v>
      </c>
      <c r="C24" t="s">
        <v>143</v>
      </c>
      <c r="D24" t="s">
        <v>144</v>
      </c>
      <c r="E24" t="s">
        <v>145</v>
      </c>
      <c r="F24" t="s">
        <v>146</v>
      </c>
      <c r="G24" t="str">
        <f t="shared" si="1"/>
        <v>Juan 20, 1-9</v>
      </c>
      <c r="I24" t="s">
        <v>147</v>
      </c>
    </row>
    <row r="25" spans="1:10">
      <c r="A25" t="s">
        <v>31</v>
      </c>
      <c r="B25" t="s">
        <v>148</v>
      </c>
      <c r="C25" t="s">
        <v>149</v>
      </c>
      <c r="D25" t="s">
        <v>150</v>
      </c>
      <c r="E25" t="s">
        <v>157</v>
      </c>
      <c r="F25" t="s">
        <v>151</v>
      </c>
      <c r="G25" t="str">
        <f t="shared" si="1"/>
        <v>Juan 20, 19-31</v>
      </c>
      <c r="I25" t="s">
        <v>152</v>
      </c>
    </row>
    <row r="26" spans="1:10">
      <c r="A26" t="s">
        <v>31</v>
      </c>
      <c r="B26" t="s">
        <v>155</v>
      </c>
      <c r="C26" t="s">
        <v>153</v>
      </c>
      <c r="D26" t="s">
        <v>154</v>
      </c>
      <c r="E26" t="s">
        <v>156</v>
      </c>
      <c r="F26" t="s">
        <v>158</v>
      </c>
      <c r="G26" t="str">
        <f t="shared" si="1"/>
        <v>Lucas 24, 13-35</v>
      </c>
      <c r="I26" t="s">
        <v>159</v>
      </c>
    </row>
    <row r="27" spans="1:10">
      <c r="A27" t="s">
        <v>31</v>
      </c>
      <c r="B27" t="s">
        <v>160</v>
      </c>
      <c r="C27" t="s">
        <v>161</v>
      </c>
      <c r="D27" t="s">
        <v>111</v>
      </c>
      <c r="E27" t="s">
        <v>162</v>
      </c>
      <c r="F27" t="s">
        <v>163</v>
      </c>
      <c r="G27" t="str">
        <f t="shared" si="1"/>
        <v>Juan 10, 1-10</v>
      </c>
      <c r="I27" t="s">
        <v>164</v>
      </c>
    </row>
    <row r="28" spans="1:10">
      <c r="A28" t="s">
        <v>31</v>
      </c>
      <c r="B28" t="s">
        <v>165</v>
      </c>
      <c r="C28" t="s">
        <v>166</v>
      </c>
      <c r="D28" t="s">
        <v>167</v>
      </c>
      <c r="E28" t="s">
        <v>168</v>
      </c>
      <c r="F28" t="s">
        <v>169</v>
      </c>
      <c r="G28" t="str">
        <f t="shared" si="1"/>
        <v>Juan 14, 1-12</v>
      </c>
      <c r="I28" t="s">
        <v>170</v>
      </c>
    </row>
    <row r="29" spans="1:10">
      <c r="A29" t="s">
        <v>31</v>
      </c>
      <c r="B29" t="s">
        <v>171</v>
      </c>
      <c r="C29" t="s">
        <v>172</v>
      </c>
      <c r="D29" t="s">
        <v>173</v>
      </c>
      <c r="E29" t="s">
        <v>174</v>
      </c>
      <c r="F29" t="s">
        <v>175</v>
      </c>
      <c r="G29" t="str">
        <f t="shared" si="1"/>
        <v>Juan 14, 15-21</v>
      </c>
      <c r="I29" t="s">
        <v>176</v>
      </c>
    </row>
    <row r="30" spans="1:10">
      <c r="A30" t="s">
        <v>31</v>
      </c>
      <c r="B30" t="s">
        <v>180</v>
      </c>
      <c r="C30" t="s">
        <v>181</v>
      </c>
      <c r="D30" t="s">
        <v>182</v>
      </c>
      <c r="E30" t="s">
        <v>183</v>
      </c>
      <c r="F30" t="s">
        <v>184</v>
      </c>
      <c r="G30" t="str">
        <f t="shared" si="1"/>
        <v>Mateo 28, 16-20</v>
      </c>
      <c r="I30" t="s">
        <v>185</v>
      </c>
    </row>
    <row r="31" spans="1:10">
      <c r="A31" t="s">
        <v>31</v>
      </c>
      <c r="B31" t="s">
        <v>178</v>
      </c>
      <c r="C31" t="s">
        <v>186</v>
      </c>
      <c r="D31" t="s">
        <v>187</v>
      </c>
      <c r="E31" t="s">
        <v>177</v>
      </c>
      <c r="F31" t="s">
        <v>179</v>
      </c>
      <c r="G31" t="str">
        <f t="shared" si="1"/>
        <v>Juan 17, 1-11</v>
      </c>
      <c r="I31" t="s">
        <v>188</v>
      </c>
    </row>
    <row r="32" spans="1:10">
      <c r="A32" t="s">
        <v>31</v>
      </c>
      <c r="B32" t="s">
        <v>194</v>
      </c>
      <c r="C32" t="s">
        <v>189</v>
      </c>
      <c r="D32" t="s">
        <v>191</v>
      </c>
      <c r="E32" t="s">
        <v>190</v>
      </c>
      <c r="F32" t="s">
        <v>193</v>
      </c>
      <c r="G32" t="str">
        <f t="shared" si="1"/>
        <v>Juan 7, 37-39</v>
      </c>
      <c r="I32" t="s">
        <v>192</v>
      </c>
    </row>
    <row r="33" spans="1:12">
      <c r="A33" t="s">
        <v>31</v>
      </c>
      <c r="B33" t="s">
        <v>195</v>
      </c>
      <c r="C33" t="s">
        <v>196</v>
      </c>
      <c r="D33" t="s">
        <v>197</v>
      </c>
      <c r="E33" t="s">
        <v>198</v>
      </c>
      <c r="F33" t="s">
        <v>200</v>
      </c>
      <c r="G33" t="str">
        <f t="shared" si="1"/>
        <v>Juan 20, 19-23</v>
      </c>
      <c r="I33" t="s">
        <v>199</v>
      </c>
    </row>
    <row r="34" spans="1:12">
      <c r="A34" t="s">
        <v>31</v>
      </c>
      <c r="B34" t="s">
        <v>201</v>
      </c>
      <c r="C34" t="s">
        <v>202</v>
      </c>
      <c r="D34" t="s">
        <v>203</v>
      </c>
      <c r="E34" t="s">
        <v>204</v>
      </c>
      <c r="F34" t="s">
        <v>205</v>
      </c>
      <c r="G34" t="str">
        <f t="shared" si="1"/>
        <v>Juan 3,1 6-18</v>
      </c>
      <c r="I34" t="s">
        <v>206</v>
      </c>
    </row>
    <row r="35" spans="1:12">
      <c r="A35" t="s">
        <v>31</v>
      </c>
      <c r="B35" t="s">
        <v>208</v>
      </c>
      <c r="C35" t="s">
        <v>207</v>
      </c>
      <c r="D35" t="s">
        <v>74</v>
      </c>
      <c r="E35" t="s">
        <v>210</v>
      </c>
      <c r="F35" t="s">
        <v>211</v>
      </c>
      <c r="G35" t="str">
        <f t="shared" si="1"/>
        <v>Juan 6, 51-58</v>
      </c>
      <c r="I35" t="s">
        <v>212</v>
      </c>
      <c r="L35" t="s">
        <v>209</v>
      </c>
    </row>
    <row r="36" spans="1:12">
      <c r="A36" t="s">
        <v>31</v>
      </c>
      <c r="B36" t="s">
        <v>213</v>
      </c>
      <c r="C36" t="s">
        <v>215</v>
      </c>
      <c r="D36" t="s">
        <v>216</v>
      </c>
      <c r="E36" t="s">
        <v>217</v>
      </c>
      <c r="F36" t="s">
        <v>218</v>
      </c>
      <c r="G36" t="str">
        <f t="shared" si="1"/>
        <v>Mateo 11, 25-30</v>
      </c>
      <c r="I36" t="s">
        <v>219</v>
      </c>
      <c r="L36" t="s">
        <v>214</v>
      </c>
    </row>
    <row r="37" spans="1:12">
      <c r="A37" t="s">
        <v>31</v>
      </c>
      <c r="B37" t="s">
        <v>220</v>
      </c>
      <c r="C37" t="s">
        <v>221</v>
      </c>
      <c r="D37" t="s">
        <v>222</v>
      </c>
      <c r="E37" t="s">
        <v>223</v>
      </c>
      <c r="F37" t="s">
        <v>224</v>
      </c>
      <c r="G37" t="str">
        <f t="shared" si="1"/>
        <v>Juan 1, 29-34</v>
      </c>
      <c r="I37" t="s">
        <v>230</v>
      </c>
    </row>
    <row r="38" spans="1:12">
      <c r="A38" t="s">
        <v>31</v>
      </c>
      <c r="B38" t="s">
        <v>225</v>
      </c>
      <c r="C38" t="s">
        <v>226</v>
      </c>
      <c r="D38" t="s">
        <v>227</v>
      </c>
      <c r="E38" t="s">
        <v>228</v>
      </c>
      <c r="F38" t="s">
        <v>229</v>
      </c>
      <c r="G38" t="str">
        <f t="shared" si="1"/>
        <v>Mateo 4, 12-23 / Mateo 4, 12-17</v>
      </c>
      <c r="I38" t="s">
        <v>231</v>
      </c>
      <c r="J38" t="s">
        <v>232</v>
      </c>
    </row>
    <row r="39" spans="1:12">
      <c r="A39" t="s">
        <v>31</v>
      </c>
      <c r="B39" t="s">
        <v>233</v>
      </c>
      <c r="C39" t="s">
        <v>234</v>
      </c>
      <c r="D39" t="s">
        <v>235</v>
      </c>
      <c r="E39" t="s">
        <v>236</v>
      </c>
      <c r="F39" t="s">
        <v>237</v>
      </c>
      <c r="G39" t="str">
        <f t="shared" si="1"/>
        <v>Mateo 5, 1-12a</v>
      </c>
      <c r="I39" t="s">
        <v>384</v>
      </c>
    </row>
    <row r="40" spans="1:12">
      <c r="A40" t="s">
        <v>31</v>
      </c>
      <c r="B40" t="s">
        <v>238</v>
      </c>
      <c r="C40" t="s">
        <v>239</v>
      </c>
      <c r="D40" t="s">
        <v>240</v>
      </c>
      <c r="E40" t="s">
        <v>241</v>
      </c>
      <c r="F40" t="s">
        <v>242</v>
      </c>
      <c r="G40" t="str">
        <f t="shared" si="1"/>
        <v>Mateo 5, 13-16</v>
      </c>
      <c r="I40" t="s">
        <v>385</v>
      </c>
    </row>
    <row r="41" spans="1:12">
      <c r="A41" t="s">
        <v>31</v>
      </c>
      <c r="B41" t="s">
        <v>243</v>
      </c>
      <c r="C41" t="s">
        <v>244</v>
      </c>
      <c r="D41" t="s">
        <v>245</v>
      </c>
      <c r="E41" t="s">
        <v>246</v>
      </c>
      <c r="F41" t="s">
        <v>247</v>
      </c>
      <c r="G41" t="str">
        <f t="shared" si="1"/>
        <v>Mateo 5, 17-37 / Mateo 5, 20-22a. 27-28. 33-34a. 37</v>
      </c>
      <c r="I41" t="s">
        <v>386</v>
      </c>
      <c r="J41" t="s">
        <v>387</v>
      </c>
    </row>
    <row r="42" spans="1:12">
      <c r="A42" t="s">
        <v>31</v>
      </c>
      <c r="B42" t="s">
        <v>248</v>
      </c>
      <c r="C42" t="s">
        <v>249</v>
      </c>
      <c r="D42" t="s">
        <v>250</v>
      </c>
      <c r="E42" t="s">
        <v>251</v>
      </c>
      <c r="F42" t="s">
        <v>252</v>
      </c>
      <c r="G42" t="str">
        <f t="shared" si="1"/>
        <v>Mateo 5, 38-48</v>
      </c>
      <c r="I42" t="s">
        <v>388</v>
      </c>
    </row>
    <row r="43" spans="1:12">
      <c r="A43" t="s">
        <v>31</v>
      </c>
      <c r="B43" t="s">
        <v>253</v>
      </c>
      <c r="C43" t="s">
        <v>254</v>
      </c>
      <c r="D43" t="s">
        <v>255</v>
      </c>
      <c r="E43" t="s">
        <v>256</v>
      </c>
      <c r="F43" t="s">
        <v>257</v>
      </c>
      <c r="G43" t="str">
        <f t="shared" si="1"/>
        <v>Mateo 6, 24-34</v>
      </c>
      <c r="I43" t="s">
        <v>389</v>
      </c>
    </row>
    <row r="44" spans="1:12">
      <c r="A44" t="s">
        <v>31</v>
      </c>
      <c r="B44" t="s">
        <v>258</v>
      </c>
      <c r="C44" t="s">
        <v>259</v>
      </c>
      <c r="D44" t="s">
        <v>260</v>
      </c>
      <c r="E44" t="s">
        <v>261</v>
      </c>
      <c r="F44" t="s">
        <v>262</v>
      </c>
      <c r="G44" t="str">
        <f t="shared" si="1"/>
        <v>Mateo 7, 21-27</v>
      </c>
      <c r="I44" t="s">
        <v>390</v>
      </c>
    </row>
    <row r="45" spans="1:12">
      <c r="A45" t="s">
        <v>31</v>
      </c>
      <c r="B45" t="s">
        <v>263</v>
      </c>
      <c r="C45" t="s">
        <v>264</v>
      </c>
      <c r="D45" t="s">
        <v>265</v>
      </c>
      <c r="E45" t="s">
        <v>266</v>
      </c>
      <c r="F45" t="s">
        <v>267</v>
      </c>
      <c r="G45" t="str">
        <f t="shared" si="1"/>
        <v>Mateo 9, 9-13</v>
      </c>
      <c r="I45" t="s">
        <v>391</v>
      </c>
    </row>
    <row r="46" spans="1:12">
      <c r="A46" t="s">
        <v>31</v>
      </c>
      <c r="B46" t="s">
        <v>268</v>
      </c>
      <c r="C46" t="s">
        <v>269</v>
      </c>
      <c r="D46" t="s">
        <v>270</v>
      </c>
      <c r="E46" t="s">
        <v>271</v>
      </c>
      <c r="F46" t="s">
        <v>272</v>
      </c>
      <c r="G46" t="str">
        <f t="shared" si="1"/>
        <v>Mateo 9, 36—10, 8</v>
      </c>
      <c r="I46" t="s">
        <v>392</v>
      </c>
    </row>
    <row r="47" spans="1:12">
      <c r="A47" t="s">
        <v>31</v>
      </c>
      <c r="B47" t="s">
        <v>273</v>
      </c>
      <c r="C47" t="s">
        <v>274</v>
      </c>
      <c r="D47" t="s">
        <v>275</v>
      </c>
      <c r="E47" t="s">
        <v>276</v>
      </c>
      <c r="F47" t="s">
        <v>277</v>
      </c>
      <c r="G47" t="str">
        <f t="shared" si="1"/>
        <v>Mateo 10, 26-33</v>
      </c>
      <c r="I47" t="s">
        <v>393</v>
      </c>
    </row>
    <row r="48" spans="1:12">
      <c r="A48" t="s">
        <v>31</v>
      </c>
      <c r="B48" t="s">
        <v>278</v>
      </c>
      <c r="C48" t="s">
        <v>279</v>
      </c>
      <c r="D48" t="s">
        <v>280</v>
      </c>
      <c r="E48" t="s">
        <v>281</v>
      </c>
      <c r="F48" t="s">
        <v>282</v>
      </c>
      <c r="G48" t="str">
        <f t="shared" si="1"/>
        <v>Mateo 10, 37-42</v>
      </c>
      <c r="I48" t="s">
        <v>394</v>
      </c>
    </row>
    <row r="49" spans="1:10">
      <c r="A49" t="s">
        <v>31</v>
      </c>
      <c r="B49" t="s">
        <v>283</v>
      </c>
      <c r="C49" t="s">
        <v>284</v>
      </c>
      <c r="D49" t="s">
        <v>285</v>
      </c>
      <c r="E49" t="s">
        <v>286</v>
      </c>
      <c r="F49" t="s">
        <v>287</v>
      </c>
      <c r="G49" t="str">
        <f t="shared" si="1"/>
        <v>Mateo 11, 25-30</v>
      </c>
      <c r="I49" t="s">
        <v>219</v>
      </c>
    </row>
    <row r="50" spans="1:10">
      <c r="A50" t="s">
        <v>31</v>
      </c>
      <c r="B50" t="s">
        <v>364</v>
      </c>
      <c r="C50" t="s">
        <v>288</v>
      </c>
      <c r="D50" t="s">
        <v>289</v>
      </c>
      <c r="E50" t="s">
        <v>290</v>
      </c>
      <c r="F50" t="s">
        <v>291</v>
      </c>
      <c r="G50" t="str">
        <f t="shared" si="1"/>
        <v>Mateo 13, 1-23 / Mateo 13, 1-9</v>
      </c>
      <c r="I50" t="s">
        <v>395</v>
      </c>
      <c r="J50" t="s">
        <v>396</v>
      </c>
    </row>
    <row r="51" spans="1:10">
      <c r="A51" t="s">
        <v>31</v>
      </c>
      <c r="B51" t="s">
        <v>365</v>
      </c>
      <c r="C51" t="s">
        <v>292</v>
      </c>
      <c r="D51" t="s">
        <v>293</v>
      </c>
      <c r="E51" t="s">
        <v>294</v>
      </c>
      <c r="F51" t="s">
        <v>287</v>
      </c>
      <c r="G51" t="str">
        <f t="shared" si="1"/>
        <v>Mateo 13, 24-43 / Mateo 13, 24-30</v>
      </c>
      <c r="I51" t="s">
        <v>397</v>
      </c>
      <c r="J51" t="s">
        <v>398</v>
      </c>
    </row>
    <row r="52" spans="1:10">
      <c r="A52" t="s">
        <v>31</v>
      </c>
      <c r="B52" t="s">
        <v>366</v>
      </c>
      <c r="C52" t="s">
        <v>295</v>
      </c>
      <c r="D52" t="s">
        <v>296</v>
      </c>
      <c r="E52" t="s">
        <v>297</v>
      </c>
      <c r="F52" t="s">
        <v>287</v>
      </c>
      <c r="G52" t="str">
        <f t="shared" si="1"/>
        <v>Mateo 13, 44-52 / Mateo 13, 44-46</v>
      </c>
      <c r="I52" t="s">
        <v>399</v>
      </c>
      <c r="J52" t="s">
        <v>400</v>
      </c>
    </row>
    <row r="53" spans="1:10">
      <c r="A53" t="s">
        <v>31</v>
      </c>
      <c r="B53" t="s">
        <v>367</v>
      </c>
      <c r="C53" t="s">
        <v>298</v>
      </c>
      <c r="D53" t="s">
        <v>299</v>
      </c>
      <c r="E53" t="s">
        <v>300</v>
      </c>
      <c r="F53" t="s">
        <v>301</v>
      </c>
      <c r="G53" t="str">
        <f t="shared" si="1"/>
        <v>Mateo 14, 13-21</v>
      </c>
      <c r="I53" t="s">
        <v>401</v>
      </c>
    </row>
    <row r="54" spans="1:10">
      <c r="A54" t="s">
        <v>31</v>
      </c>
      <c r="B54" t="s">
        <v>368</v>
      </c>
      <c r="C54" t="s">
        <v>302</v>
      </c>
      <c r="D54" t="s">
        <v>303</v>
      </c>
      <c r="E54" t="s">
        <v>304</v>
      </c>
      <c r="F54" t="s">
        <v>305</v>
      </c>
      <c r="G54" t="str">
        <f t="shared" si="1"/>
        <v>Mateo 14, 22-33</v>
      </c>
      <c r="I54" t="s">
        <v>402</v>
      </c>
    </row>
    <row r="55" spans="1:10">
      <c r="A55" t="s">
        <v>31</v>
      </c>
      <c r="B55" t="s">
        <v>369</v>
      </c>
      <c r="C55" t="s">
        <v>306</v>
      </c>
      <c r="D55" t="s">
        <v>307</v>
      </c>
      <c r="E55" t="s">
        <v>308</v>
      </c>
      <c r="F55" t="s">
        <v>229</v>
      </c>
      <c r="G55" t="str">
        <f t="shared" si="1"/>
        <v>Mateo 15, 21-28</v>
      </c>
      <c r="I55" t="s">
        <v>419</v>
      </c>
    </row>
    <row r="56" spans="1:10">
      <c r="A56" t="s">
        <v>31</v>
      </c>
      <c r="B56" t="s">
        <v>370</v>
      </c>
      <c r="C56" t="s">
        <v>309</v>
      </c>
      <c r="D56" t="s">
        <v>310</v>
      </c>
      <c r="E56" t="s">
        <v>311</v>
      </c>
      <c r="F56" t="s">
        <v>312</v>
      </c>
      <c r="G56" t="str">
        <f t="shared" si="1"/>
        <v>Mateo 16, 13-20</v>
      </c>
      <c r="I56" t="s">
        <v>403</v>
      </c>
    </row>
    <row r="57" spans="1:10">
      <c r="A57" t="s">
        <v>31</v>
      </c>
      <c r="B57" t="s">
        <v>371</v>
      </c>
      <c r="C57" t="s">
        <v>313</v>
      </c>
      <c r="D57" t="s">
        <v>314</v>
      </c>
      <c r="E57" t="s">
        <v>315</v>
      </c>
      <c r="F57" t="s">
        <v>316</v>
      </c>
      <c r="G57" t="str">
        <f t="shared" si="1"/>
        <v>Mateo 16, 21-27</v>
      </c>
      <c r="I57" t="s">
        <v>404</v>
      </c>
    </row>
    <row r="58" spans="1:10">
      <c r="A58" t="s">
        <v>31</v>
      </c>
      <c r="B58" t="s">
        <v>372</v>
      </c>
      <c r="C58" t="s">
        <v>317</v>
      </c>
      <c r="D58" t="s">
        <v>318</v>
      </c>
      <c r="E58" t="s">
        <v>319</v>
      </c>
      <c r="F58" t="s">
        <v>320</v>
      </c>
      <c r="G58" t="str">
        <f t="shared" si="1"/>
        <v>Mateo 18, 15-20</v>
      </c>
      <c r="I58" t="s">
        <v>405</v>
      </c>
    </row>
    <row r="59" spans="1:10">
      <c r="A59" t="s">
        <v>31</v>
      </c>
      <c r="B59" t="s">
        <v>373</v>
      </c>
      <c r="C59" t="s">
        <v>321</v>
      </c>
      <c r="D59" t="s">
        <v>322</v>
      </c>
      <c r="E59" t="s">
        <v>323</v>
      </c>
      <c r="F59" t="s">
        <v>324</v>
      </c>
      <c r="G59" t="str">
        <f t="shared" si="1"/>
        <v>Mateo 18, 21-35</v>
      </c>
      <c r="I59" t="s">
        <v>406</v>
      </c>
    </row>
    <row r="60" spans="1:10">
      <c r="A60" t="s">
        <v>31</v>
      </c>
      <c r="B60" t="s">
        <v>374</v>
      </c>
      <c r="C60" t="s">
        <v>325</v>
      </c>
      <c r="D60" t="s">
        <v>326</v>
      </c>
      <c r="E60" t="s">
        <v>327</v>
      </c>
      <c r="F60" t="s">
        <v>328</v>
      </c>
      <c r="G60" t="str">
        <f t="shared" si="1"/>
        <v>Mateo 20, 1-16</v>
      </c>
      <c r="I60" t="s">
        <v>407</v>
      </c>
    </row>
    <row r="61" spans="1:10">
      <c r="A61" t="s">
        <v>31</v>
      </c>
      <c r="B61" t="s">
        <v>375</v>
      </c>
      <c r="C61" t="s">
        <v>329</v>
      </c>
      <c r="D61" t="s">
        <v>330</v>
      </c>
      <c r="E61" t="s">
        <v>331</v>
      </c>
      <c r="F61" t="s">
        <v>332</v>
      </c>
      <c r="G61" t="str">
        <f t="shared" si="1"/>
        <v>Mateo 21, 28-32</v>
      </c>
      <c r="I61" t="s">
        <v>408</v>
      </c>
    </row>
    <row r="62" spans="1:10">
      <c r="A62" t="s">
        <v>31</v>
      </c>
      <c r="B62" t="s">
        <v>376</v>
      </c>
      <c r="C62" t="s">
        <v>333</v>
      </c>
      <c r="D62" t="s">
        <v>334</v>
      </c>
      <c r="E62" t="s">
        <v>335</v>
      </c>
      <c r="F62" t="s">
        <v>336</v>
      </c>
      <c r="G62" t="str">
        <f t="shared" si="1"/>
        <v>Mateo 21, 33-43</v>
      </c>
      <c r="I62" t="s">
        <v>409</v>
      </c>
    </row>
    <row r="63" spans="1:10">
      <c r="A63" t="s">
        <v>31</v>
      </c>
      <c r="B63" t="s">
        <v>377</v>
      </c>
      <c r="C63" t="s">
        <v>337</v>
      </c>
      <c r="D63" t="s">
        <v>338</v>
      </c>
      <c r="E63" t="s">
        <v>339</v>
      </c>
      <c r="F63" t="s">
        <v>316</v>
      </c>
      <c r="G63" t="str">
        <f t="shared" si="1"/>
        <v>Mateo 22, 1-14 / Mateo 22, 1-10</v>
      </c>
      <c r="I63" t="s">
        <v>410</v>
      </c>
      <c r="J63" t="s">
        <v>411</v>
      </c>
    </row>
    <row r="64" spans="1:10">
      <c r="A64" t="s">
        <v>31</v>
      </c>
      <c r="B64" t="s">
        <v>378</v>
      </c>
      <c r="C64" t="s">
        <v>340</v>
      </c>
      <c r="D64" t="s">
        <v>341</v>
      </c>
      <c r="E64" t="s">
        <v>342</v>
      </c>
      <c r="F64" t="s">
        <v>343</v>
      </c>
      <c r="G64" t="str">
        <f t="shared" si="1"/>
        <v>Mateo 22, 15-21</v>
      </c>
      <c r="I64" t="s">
        <v>412</v>
      </c>
    </row>
    <row r="65" spans="1:10">
      <c r="A65" t="s">
        <v>31</v>
      </c>
      <c r="B65" t="s">
        <v>379</v>
      </c>
      <c r="C65" t="s">
        <v>344</v>
      </c>
      <c r="D65" t="s">
        <v>345</v>
      </c>
      <c r="E65" t="s">
        <v>346</v>
      </c>
      <c r="F65" t="s">
        <v>347</v>
      </c>
      <c r="G65" t="str">
        <f t="shared" si="1"/>
        <v>Mateo 22, 34-40</v>
      </c>
      <c r="I65" t="s">
        <v>413</v>
      </c>
    </row>
    <row r="66" spans="1:10">
      <c r="A66" t="s">
        <v>31</v>
      </c>
      <c r="B66" t="s">
        <v>380</v>
      </c>
      <c r="C66" t="s">
        <v>348</v>
      </c>
      <c r="D66" t="s">
        <v>349</v>
      </c>
      <c r="E66" t="s">
        <v>350</v>
      </c>
      <c r="F66" t="s">
        <v>351</v>
      </c>
      <c r="G66" t="str">
        <f t="shared" si="1"/>
        <v>Mateo 23, 1-12</v>
      </c>
      <c r="I66" t="s">
        <v>414</v>
      </c>
    </row>
    <row r="67" spans="1:10">
      <c r="A67" t="s">
        <v>31</v>
      </c>
      <c r="B67" t="s">
        <v>381</v>
      </c>
      <c r="C67" t="s">
        <v>352</v>
      </c>
      <c r="D67" t="s">
        <v>353</v>
      </c>
      <c r="E67" t="s">
        <v>354</v>
      </c>
      <c r="F67" t="s">
        <v>355</v>
      </c>
      <c r="G67" t="str">
        <f t="shared" si="1"/>
        <v>Mateo 25, 1-13</v>
      </c>
      <c r="I67" t="s">
        <v>415</v>
      </c>
    </row>
    <row r="68" spans="1:10">
      <c r="A68" t="s">
        <v>31</v>
      </c>
      <c r="B68" t="s">
        <v>382</v>
      </c>
      <c r="C68" t="s">
        <v>356</v>
      </c>
      <c r="D68" t="s">
        <v>357</v>
      </c>
      <c r="E68" t="s">
        <v>358</v>
      </c>
      <c r="F68" t="s">
        <v>359</v>
      </c>
      <c r="G68" t="str">
        <f t="shared" si="1"/>
        <v>Mateo 25, 14-30 / Mateo 25, 14-15. 19-21</v>
      </c>
      <c r="I68" t="s">
        <v>416</v>
      </c>
      <c r="J68" t="s">
        <v>417</v>
      </c>
    </row>
    <row r="69" spans="1:10">
      <c r="A69" t="s">
        <v>31</v>
      </c>
      <c r="B69" t="s">
        <v>383</v>
      </c>
      <c r="C69" t="s">
        <v>360</v>
      </c>
      <c r="D69" t="s">
        <v>361</v>
      </c>
      <c r="E69" t="s">
        <v>362</v>
      </c>
      <c r="F69" t="s">
        <v>363</v>
      </c>
      <c r="G69" t="str">
        <f t="shared" si="1"/>
        <v>Mateo 25, 31-46</v>
      </c>
      <c r="I69" t="s">
        <v>418</v>
      </c>
    </row>
    <row r="70" spans="1:10">
      <c r="A70" t="s">
        <v>429</v>
      </c>
      <c r="B70" t="s">
        <v>430</v>
      </c>
      <c r="C70" s="1" t="s">
        <v>420</v>
      </c>
      <c r="D70" s="2" t="s">
        <v>421</v>
      </c>
      <c r="E70" s="3" t="s">
        <v>422</v>
      </c>
      <c r="F70" s="2" t="s">
        <v>423</v>
      </c>
    </row>
    <row r="71" spans="1:10">
      <c r="A71" t="s">
        <v>429</v>
      </c>
      <c r="B71" t="s">
        <v>424</v>
      </c>
      <c r="C71" s="2" t="s">
        <v>425</v>
      </c>
      <c r="D71" t="s">
        <v>426</v>
      </c>
      <c r="E71" s="3" t="s">
        <v>427</v>
      </c>
      <c r="F71" s="2" t="s">
        <v>428</v>
      </c>
    </row>
    <row r="72" spans="1:10">
      <c r="A72" t="s">
        <v>429</v>
      </c>
      <c r="B72" t="s">
        <v>431</v>
      </c>
      <c r="C72" t="s">
        <v>436</v>
      </c>
      <c r="D72" s="2" t="s">
        <v>437</v>
      </c>
      <c r="E72" s="3" t="s">
        <v>438</v>
      </c>
      <c r="F72" s="2" t="s">
        <v>439</v>
      </c>
    </row>
    <row r="73" spans="1:10">
      <c r="A73" t="s">
        <v>429</v>
      </c>
      <c r="B73" t="s">
        <v>432</v>
      </c>
      <c r="C73" t="s">
        <v>440</v>
      </c>
      <c r="D73" t="s">
        <v>441</v>
      </c>
      <c r="E73" s="3" t="s">
        <v>442</v>
      </c>
      <c r="F73" s="2" t="s">
        <v>443</v>
      </c>
    </row>
    <row r="74" spans="1:10">
      <c r="A74" t="s">
        <v>429</v>
      </c>
      <c r="B74" t="s">
        <v>433</v>
      </c>
      <c r="C74" t="s">
        <v>444</v>
      </c>
      <c r="D74" s="2" t="s">
        <v>445</v>
      </c>
      <c r="E74" s="3" t="s">
        <v>446</v>
      </c>
      <c r="F74" s="2" t="s">
        <v>447</v>
      </c>
    </row>
    <row r="75" spans="1:10">
      <c r="A75" t="s">
        <v>429</v>
      </c>
      <c r="B75" t="s">
        <v>434</v>
      </c>
      <c r="C75" t="s">
        <v>448</v>
      </c>
      <c r="D75" s="2" t="s">
        <v>449</v>
      </c>
      <c r="E75" s="3" t="s">
        <v>22</v>
      </c>
      <c r="F75" s="2" t="s">
        <v>450</v>
      </c>
    </row>
    <row r="76" spans="1:10">
      <c r="A76" t="s">
        <v>435</v>
      </c>
      <c r="B76" t="s">
        <v>430</v>
      </c>
      <c r="G76">
        <f t="shared" ref="G76:G114" si="2">IF(J76="",I76,_xlfn.CONCAT(I76," / ",J76))</f>
        <v>0</v>
      </c>
    </row>
    <row r="77" spans="1:10">
      <c r="A77" t="s">
        <v>435</v>
      </c>
      <c r="B77" t="s">
        <v>424</v>
      </c>
      <c r="G77">
        <f t="shared" si="2"/>
        <v>0</v>
      </c>
    </row>
    <row r="78" spans="1:10">
      <c r="A78" t="s">
        <v>435</v>
      </c>
      <c r="B78" t="s">
        <v>431</v>
      </c>
      <c r="G78">
        <f t="shared" si="2"/>
        <v>0</v>
      </c>
    </row>
    <row r="79" spans="1:10">
      <c r="A79" t="s">
        <v>435</v>
      </c>
      <c r="B79" t="s">
        <v>432</v>
      </c>
      <c r="G79">
        <f t="shared" si="2"/>
        <v>0</v>
      </c>
    </row>
    <row r="80" spans="1:10">
      <c r="A80" t="s">
        <v>435</v>
      </c>
      <c r="B80" t="s">
        <v>433</v>
      </c>
      <c r="G80">
        <f t="shared" si="2"/>
        <v>0</v>
      </c>
    </row>
    <row r="81" spans="1:7">
      <c r="A81" t="s">
        <v>435</v>
      </c>
      <c r="B81" t="s">
        <v>434</v>
      </c>
      <c r="G81">
        <f t="shared" si="2"/>
        <v>0</v>
      </c>
    </row>
    <row r="82" spans="1:7">
      <c r="G82">
        <f t="shared" si="2"/>
        <v>0</v>
      </c>
    </row>
    <row r="83" spans="1:7">
      <c r="G83">
        <f t="shared" si="2"/>
        <v>0</v>
      </c>
    </row>
    <row r="84" spans="1:7">
      <c r="G84">
        <f t="shared" si="2"/>
        <v>0</v>
      </c>
    </row>
    <row r="85" spans="1:7">
      <c r="G85">
        <f t="shared" si="2"/>
        <v>0</v>
      </c>
    </row>
    <row r="86" spans="1:7">
      <c r="G86">
        <f t="shared" si="2"/>
        <v>0</v>
      </c>
    </row>
    <row r="87" spans="1:7">
      <c r="G87">
        <f t="shared" si="2"/>
        <v>0</v>
      </c>
    </row>
    <row r="88" spans="1:7">
      <c r="G88">
        <f t="shared" si="2"/>
        <v>0</v>
      </c>
    </row>
    <row r="89" spans="1:7">
      <c r="G89">
        <f t="shared" si="2"/>
        <v>0</v>
      </c>
    </row>
    <row r="90" spans="1:7">
      <c r="G90">
        <f t="shared" si="2"/>
        <v>0</v>
      </c>
    </row>
    <row r="91" spans="1:7">
      <c r="G91">
        <f t="shared" si="2"/>
        <v>0</v>
      </c>
    </row>
    <row r="92" spans="1:7">
      <c r="G92">
        <f t="shared" si="2"/>
        <v>0</v>
      </c>
    </row>
    <row r="93" spans="1:7">
      <c r="G93">
        <f t="shared" si="2"/>
        <v>0</v>
      </c>
    </row>
    <row r="94" spans="1:7">
      <c r="G94">
        <f t="shared" si="2"/>
        <v>0</v>
      </c>
    </row>
    <row r="95" spans="1:7">
      <c r="G95">
        <f t="shared" si="2"/>
        <v>0</v>
      </c>
    </row>
    <row r="96" spans="1:7">
      <c r="G96">
        <f t="shared" si="2"/>
        <v>0</v>
      </c>
    </row>
    <row r="97" spans="7:7">
      <c r="G97">
        <f t="shared" si="2"/>
        <v>0</v>
      </c>
    </row>
    <row r="98" spans="7:7">
      <c r="G98">
        <f t="shared" si="2"/>
        <v>0</v>
      </c>
    </row>
    <row r="99" spans="7:7">
      <c r="G99">
        <f t="shared" si="2"/>
        <v>0</v>
      </c>
    </row>
    <row r="100" spans="7:7">
      <c r="G100">
        <f t="shared" si="2"/>
        <v>0</v>
      </c>
    </row>
    <row r="101" spans="7:7">
      <c r="G101">
        <f t="shared" si="2"/>
        <v>0</v>
      </c>
    </row>
    <row r="102" spans="7:7">
      <c r="G102">
        <f t="shared" si="2"/>
        <v>0</v>
      </c>
    </row>
    <row r="103" spans="7:7">
      <c r="G103">
        <f t="shared" si="2"/>
        <v>0</v>
      </c>
    </row>
    <row r="104" spans="7:7">
      <c r="G104">
        <f t="shared" si="2"/>
        <v>0</v>
      </c>
    </row>
    <row r="105" spans="7:7">
      <c r="G105">
        <f t="shared" si="2"/>
        <v>0</v>
      </c>
    </row>
    <row r="106" spans="7:7">
      <c r="G106">
        <f t="shared" si="2"/>
        <v>0</v>
      </c>
    </row>
    <row r="107" spans="7:7">
      <c r="G107">
        <f t="shared" si="2"/>
        <v>0</v>
      </c>
    </row>
    <row r="108" spans="7:7">
      <c r="G108">
        <f t="shared" si="2"/>
        <v>0</v>
      </c>
    </row>
    <row r="109" spans="7:7">
      <c r="G109">
        <f t="shared" si="2"/>
        <v>0</v>
      </c>
    </row>
    <row r="110" spans="7:7">
      <c r="G110">
        <f t="shared" si="2"/>
        <v>0</v>
      </c>
    </row>
    <row r="111" spans="7:7">
      <c r="G111">
        <f t="shared" si="2"/>
        <v>0</v>
      </c>
    </row>
    <row r="112" spans="7:7">
      <c r="G112">
        <f t="shared" si="2"/>
        <v>0</v>
      </c>
    </row>
    <row r="113" spans="7:7">
      <c r="G113">
        <f t="shared" si="2"/>
        <v>0</v>
      </c>
    </row>
    <row r="114" spans="7:7">
      <c r="G114">
        <f t="shared" si="2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BACE-E0D0-47E0-A7DB-4F0CC57B5A5B}">
  <dimension ref="A1:J415"/>
  <sheetViews>
    <sheetView zoomScale="175" zoomScaleNormal="175" workbookViewId="0">
      <pane ySplit="1" topLeftCell="A2" activePane="bottomLeft" state="frozen"/>
      <selection pane="bottomLeft" activeCell="A2" sqref="A2"/>
    </sheetView>
  </sheetViews>
  <sheetFormatPr defaultRowHeight="15"/>
  <cols>
    <col min="2" max="2" width="3" bestFit="1" customWidth="1"/>
    <col min="3" max="3" width="4.28515625" bestFit="1" customWidth="1"/>
    <col min="4" max="4" width="11.28515625" bestFit="1" customWidth="1"/>
    <col min="5" max="5" width="8.85546875" bestFit="1" customWidth="1"/>
    <col min="6" max="6" width="35.140625" bestFit="1" customWidth="1"/>
    <col min="7" max="7" width="35.28515625" bestFit="1" customWidth="1"/>
    <col min="8" max="8" width="14.5703125" customWidth="1"/>
    <col min="9" max="9" width="32.5703125" bestFit="1" customWidth="1"/>
    <col min="10" max="10" width="1.85546875" bestFit="1" customWidth="1"/>
  </cols>
  <sheetData>
    <row r="1" spans="1:10">
      <c r="F1" t="s">
        <v>824</v>
      </c>
    </row>
    <row r="2" spans="1:10">
      <c r="A2" t="s">
        <v>969</v>
      </c>
      <c r="B2">
        <v>1</v>
      </c>
      <c r="C2" t="s">
        <v>970</v>
      </c>
      <c r="D2" t="str">
        <f t="shared" ref="D2:D56" si="0">_xlfn.CONCAT("TO-s",B2,"-PAR")</f>
        <v>TO-s1-PAR</v>
      </c>
      <c r="E2" t="s">
        <v>430</v>
      </c>
      <c r="F2" t="s">
        <v>451</v>
      </c>
      <c r="G2" t="s">
        <v>421</v>
      </c>
      <c r="H2" t="s">
        <v>422</v>
      </c>
      <c r="I2" t="s">
        <v>423</v>
      </c>
    </row>
    <row r="3" spans="1:10">
      <c r="A3" t="s">
        <v>969</v>
      </c>
      <c r="B3">
        <v>1</v>
      </c>
      <c r="C3" t="s">
        <v>970</v>
      </c>
      <c r="D3" t="str">
        <f t="shared" si="0"/>
        <v>TO-s1-PAR</v>
      </c>
      <c r="E3" t="s">
        <v>424</v>
      </c>
      <c r="F3" t="s">
        <v>452</v>
      </c>
      <c r="G3" t="s">
        <v>426</v>
      </c>
      <c r="H3" t="s">
        <v>427</v>
      </c>
      <c r="I3" t="s">
        <v>428</v>
      </c>
    </row>
    <row r="4" spans="1:10">
      <c r="A4" t="s">
        <v>969</v>
      </c>
      <c r="B4">
        <v>1</v>
      </c>
      <c r="C4" t="s">
        <v>970</v>
      </c>
      <c r="D4" t="str">
        <f t="shared" si="0"/>
        <v>TO-s1-PAR</v>
      </c>
      <c r="E4" t="s">
        <v>431</v>
      </c>
      <c r="F4" t="s">
        <v>436</v>
      </c>
      <c r="G4" t="s">
        <v>437</v>
      </c>
      <c r="H4" t="s">
        <v>438</v>
      </c>
      <c r="I4" t="s">
        <v>439</v>
      </c>
    </row>
    <row r="5" spans="1:10">
      <c r="A5" t="s">
        <v>969</v>
      </c>
      <c r="B5">
        <v>1</v>
      </c>
      <c r="C5" t="s">
        <v>970</v>
      </c>
      <c r="D5" t="str">
        <f t="shared" si="0"/>
        <v>TO-s1-PAR</v>
      </c>
      <c r="E5" t="s">
        <v>432</v>
      </c>
      <c r="F5" t="s">
        <v>440</v>
      </c>
      <c r="G5" t="s">
        <v>441</v>
      </c>
      <c r="H5" t="s">
        <v>442</v>
      </c>
      <c r="I5" t="s">
        <v>443</v>
      </c>
    </row>
    <row r="6" spans="1:10">
      <c r="A6" t="s">
        <v>969</v>
      </c>
      <c r="B6">
        <v>1</v>
      </c>
      <c r="C6" t="s">
        <v>970</v>
      </c>
      <c r="D6" t="str">
        <f t="shared" si="0"/>
        <v>TO-s1-PAR</v>
      </c>
      <c r="E6" t="s">
        <v>433</v>
      </c>
      <c r="F6" t="s">
        <v>444</v>
      </c>
      <c r="G6" t="s">
        <v>445</v>
      </c>
      <c r="H6" t="s">
        <v>446</v>
      </c>
      <c r="I6" t="s">
        <v>447</v>
      </c>
    </row>
    <row r="7" spans="1:10">
      <c r="A7" t="s">
        <v>969</v>
      </c>
      <c r="B7">
        <v>1</v>
      </c>
      <c r="C7" t="s">
        <v>970</v>
      </c>
      <c r="D7" t="str">
        <f t="shared" si="0"/>
        <v>TO-s1-PAR</v>
      </c>
      <c r="E7" t="s">
        <v>434</v>
      </c>
      <c r="F7" t="s">
        <v>448</v>
      </c>
      <c r="G7" t="s">
        <v>449</v>
      </c>
      <c r="H7" t="s">
        <v>22</v>
      </c>
      <c r="I7" t="s">
        <v>450</v>
      </c>
    </row>
    <row r="8" spans="1:10">
      <c r="A8" t="s">
        <v>969</v>
      </c>
      <c r="B8">
        <v>2</v>
      </c>
      <c r="C8" t="s">
        <v>970</v>
      </c>
      <c r="D8" t="str">
        <f t="shared" si="0"/>
        <v>TO-s2-PAR</v>
      </c>
      <c r="E8" t="s">
        <v>430</v>
      </c>
      <c r="F8" t="s">
        <v>453</v>
      </c>
      <c r="G8" t="s">
        <v>454</v>
      </c>
      <c r="H8" t="s">
        <v>455</v>
      </c>
      <c r="I8" t="s">
        <v>456</v>
      </c>
      <c r="J8">
        <f t="shared" ref="J8:J13" si="1">IF(M8="",L8,_xlfn.CONCAT(L8," / ",M8))</f>
        <v>0</v>
      </c>
    </row>
    <row r="9" spans="1:10">
      <c r="A9" t="s">
        <v>969</v>
      </c>
      <c r="B9">
        <v>2</v>
      </c>
      <c r="C9" t="s">
        <v>970</v>
      </c>
      <c r="D9" t="str">
        <f t="shared" si="0"/>
        <v>TO-s2-PAR</v>
      </c>
      <c r="E9" t="s">
        <v>424</v>
      </c>
      <c r="F9" t="s">
        <v>457</v>
      </c>
      <c r="G9" t="s">
        <v>458</v>
      </c>
      <c r="H9" t="s">
        <v>459</v>
      </c>
      <c r="I9" t="s">
        <v>460</v>
      </c>
      <c r="J9">
        <f t="shared" si="1"/>
        <v>0</v>
      </c>
    </row>
    <row r="10" spans="1:10">
      <c r="A10" t="s">
        <v>969</v>
      </c>
      <c r="B10">
        <v>2</v>
      </c>
      <c r="C10" t="s">
        <v>970</v>
      </c>
      <c r="D10" t="str">
        <f t="shared" si="0"/>
        <v>TO-s2-PAR</v>
      </c>
      <c r="E10" t="s">
        <v>431</v>
      </c>
      <c r="F10" t="s">
        <v>461</v>
      </c>
      <c r="G10" t="s">
        <v>462</v>
      </c>
      <c r="H10" t="s">
        <v>442</v>
      </c>
      <c r="I10" t="s">
        <v>463</v>
      </c>
      <c r="J10">
        <f t="shared" si="1"/>
        <v>0</v>
      </c>
    </row>
    <row r="11" spans="1:10">
      <c r="A11" t="s">
        <v>969</v>
      </c>
      <c r="B11">
        <v>2</v>
      </c>
      <c r="C11" t="s">
        <v>970</v>
      </c>
      <c r="D11" t="str">
        <f t="shared" si="0"/>
        <v>TO-s2-PAR</v>
      </c>
      <c r="E11" t="s">
        <v>432</v>
      </c>
      <c r="F11" t="s">
        <v>464</v>
      </c>
      <c r="G11" t="s">
        <v>465</v>
      </c>
      <c r="H11" t="s">
        <v>466</v>
      </c>
      <c r="I11" t="s">
        <v>467</v>
      </c>
      <c r="J11">
        <f t="shared" si="1"/>
        <v>0</v>
      </c>
    </row>
    <row r="12" spans="1:10">
      <c r="A12" t="s">
        <v>969</v>
      </c>
      <c r="B12">
        <v>2</v>
      </c>
      <c r="C12" t="s">
        <v>970</v>
      </c>
      <c r="D12" t="str">
        <f t="shared" si="0"/>
        <v>TO-s2-PAR</v>
      </c>
      <c r="E12" t="s">
        <v>433</v>
      </c>
      <c r="F12" t="s">
        <v>468</v>
      </c>
      <c r="G12" t="s">
        <v>469</v>
      </c>
      <c r="H12" t="s">
        <v>470</v>
      </c>
      <c r="I12" t="s">
        <v>471</v>
      </c>
      <c r="J12">
        <f t="shared" si="1"/>
        <v>0</v>
      </c>
    </row>
    <row r="13" spans="1:10">
      <c r="A13" t="s">
        <v>969</v>
      </c>
      <c r="B13">
        <v>2</v>
      </c>
      <c r="C13" t="s">
        <v>970</v>
      </c>
      <c r="D13" t="str">
        <f t="shared" si="0"/>
        <v>TO-s2-PAR</v>
      </c>
      <c r="E13" t="s">
        <v>434</v>
      </c>
      <c r="F13" t="s">
        <v>472</v>
      </c>
      <c r="G13" t="s">
        <v>473</v>
      </c>
      <c r="H13" t="s">
        <v>474</v>
      </c>
      <c r="I13" t="s">
        <v>475</v>
      </c>
      <c r="J13">
        <f t="shared" si="1"/>
        <v>0</v>
      </c>
    </row>
    <row r="14" spans="1:10">
      <c r="A14" t="s">
        <v>969</v>
      </c>
      <c r="B14">
        <v>3</v>
      </c>
      <c r="C14" t="s">
        <v>970</v>
      </c>
      <c r="D14" t="str">
        <f t="shared" si="0"/>
        <v>TO-s3-PAR</v>
      </c>
      <c r="E14" t="s">
        <v>430</v>
      </c>
      <c r="F14" t="s">
        <v>476</v>
      </c>
      <c r="G14" t="s">
        <v>477</v>
      </c>
      <c r="H14" t="s">
        <v>466</v>
      </c>
      <c r="I14" t="s">
        <v>478</v>
      </c>
    </row>
    <row r="15" spans="1:10">
      <c r="A15" t="s">
        <v>969</v>
      </c>
      <c r="B15">
        <v>3</v>
      </c>
      <c r="C15" t="s">
        <v>970</v>
      </c>
      <c r="D15" t="str">
        <f t="shared" si="0"/>
        <v>TO-s3-PAR</v>
      </c>
      <c r="E15" t="s">
        <v>424</v>
      </c>
      <c r="F15" t="s">
        <v>480</v>
      </c>
      <c r="G15" t="s">
        <v>479</v>
      </c>
      <c r="H15" t="s">
        <v>481</v>
      </c>
      <c r="I15" t="s">
        <v>482</v>
      </c>
    </row>
    <row r="16" spans="1:10">
      <c r="A16" t="s">
        <v>969</v>
      </c>
      <c r="B16">
        <v>3</v>
      </c>
      <c r="C16" t="s">
        <v>970</v>
      </c>
      <c r="D16" t="str">
        <f t="shared" si="0"/>
        <v>TO-s3-PAR</v>
      </c>
      <c r="E16" t="s">
        <v>431</v>
      </c>
      <c r="F16" t="s">
        <v>483</v>
      </c>
      <c r="G16" t="s">
        <v>484</v>
      </c>
      <c r="H16" t="s">
        <v>291</v>
      </c>
      <c r="I16" t="s">
        <v>485</v>
      </c>
    </row>
    <row r="17" spans="1:9">
      <c r="A17" t="s">
        <v>969</v>
      </c>
      <c r="B17">
        <v>3</v>
      </c>
      <c r="C17" t="s">
        <v>970</v>
      </c>
      <c r="D17" t="str">
        <f t="shared" si="0"/>
        <v>TO-s3-PAR</v>
      </c>
      <c r="E17" t="s">
        <v>432</v>
      </c>
      <c r="F17" t="s">
        <v>486</v>
      </c>
      <c r="G17" t="s">
        <v>487</v>
      </c>
      <c r="H17" t="s">
        <v>488</v>
      </c>
      <c r="I17" t="s">
        <v>489</v>
      </c>
    </row>
    <row r="18" spans="1:9">
      <c r="A18" t="s">
        <v>969</v>
      </c>
      <c r="B18">
        <v>3</v>
      </c>
      <c r="C18" t="s">
        <v>970</v>
      </c>
      <c r="D18" t="str">
        <f t="shared" si="0"/>
        <v>TO-s3-PAR</v>
      </c>
      <c r="E18" t="s">
        <v>433</v>
      </c>
      <c r="F18" t="s">
        <v>490</v>
      </c>
      <c r="G18" t="s">
        <v>491</v>
      </c>
      <c r="H18" t="s">
        <v>481</v>
      </c>
      <c r="I18" t="s">
        <v>492</v>
      </c>
    </row>
    <row r="19" spans="1:9">
      <c r="A19" t="s">
        <v>969</v>
      </c>
      <c r="B19">
        <v>3</v>
      </c>
      <c r="C19" t="s">
        <v>970</v>
      </c>
      <c r="D19" t="str">
        <f t="shared" si="0"/>
        <v>TO-s3-PAR</v>
      </c>
      <c r="E19" t="s">
        <v>434</v>
      </c>
      <c r="F19" t="s">
        <v>493</v>
      </c>
      <c r="G19" t="s">
        <v>494</v>
      </c>
      <c r="H19" t="s">
        <v>495</v>
      </c>
      <c r="I19" t="s">
        <v>496</v>
      </c>
    </row>
    <row r="20" spans="1:9">
      <c r="A20" t="s">
        <v>969</v>
      </c>
      <c r="B20">
        <v>4</v>
      </c>
      <c r="C20" t="s">
        <v>970</v>
      </c>
      <c r="D20" t="str">
        <f t="shared" si="0"/>
        <v>TO-s4-PAR</v>
      </c>
      <c r="E20" t="s">
        <v>430</v>
      </c>
      <c r="F20" t="s">
        <v>497</v>
      </c>
      <c r="G20" t="s">
        <v>498</v>
      </c>
      <c r="H20" t="s">
        <v>446</v>
      </c>
      <c r="I20" t="s">
        <v>499</v>
      </c>
    </row>
    <row r="21" spans="1:9">
      <c r="A21" t="s">
        <v>969</v>
      </c>
      <c r="B21">
        <v>4</v>
      </c>
      <c r="C21" t="s">
        <v>970</v>
      </c>
      <c r="D21" t="str">
        <f t="shared" si="0"/>
        <v>TO-s4-PAR</v>
      </c>
      <c r="E21" t="s">
        <v>424</v>
      </c>
      <c r="F21" t="s">
        <v>500</v>
      </c>
      <c r="G21" t="s">
        <v>501</v>
      </c>
      <c r="H21" t="s">
        <v>502</v>
      </c>
      <c r="I21" t="s">
        <v>503</v>
      </c>
    </row>
    <row r="22" spans="1:9">
      <c r="A22" t="s">
        <v>969</v>
      </c>
      <c r="B22">
        <v>4</v>
      </c>
      <c r="C22" t="s">
        <v>970</v>
      </c>
      <c r="D22" t="str">
        <f t="shared" si="0"/>
        <v>TO-s4-PAR</v>
      </c>
      <c r="E22" t="s">
        <v>431</v>
      </c>
      <c r="F22" t="s">
        <v>504</v>
      </c>
      <c r="G22" t="s">
        <v>505</v>
      </c>
      <c r="H22" t="s">
        <v>438</v>
      </c>
      <c r="I22" t="s">
        <v>506</v>
      </c>
    </row>
    <row r="23" spans="1:9">
      <c r="A23" t="s">
        <v>969</v>
      </c>
      <c r="B23">
        <v>4</v>
      </c>
      <c r="C23" t="s">
        <v>970</v>
      </c>
      <c r="D23" t="str">
        <f t="shared" si="0"/>
        <v>TO-s4-PAR</v>
      </c>
      <c r="E23" t="s">
        <v>432</v>
      </c>
      <c r="F23" t="s">
        <v>507</v>
      </c>
      <c r="G23" t="s">
        <v>508</v>
      </c>
      <c r="H23" t="s">
        <v>422</v>
      </c>
      <c r="I23" t="s">
        <v>509</v>
      </c>
    </row>
    <row r="24" spans="1:9">
      <c r="A24" t="s">
        <v>969</v>
      </c>
      <c r="B24">
        <v>4</v>
      </c>
      <c r="C24" t="s">
        <v>970</v>
      </c>
      <c r="D24" t="str">
        <f t="shared" si="0"/>
        <v>TO-s4-PAR</v>
      </c>
      <c r="E24" t="s">
        <v>433</v>
      </c>
      <c r="F24" t="s">
        <v>510</v>
      </c>
      <c r="G24" t="s">
        <v>511</v>
      </c>
      <c r="H24" t="s">
        <v>512</v>
      </c>
      <c r="I24" t="s">
        <v>513</v>
      </c>
    </row>
    <row r="25" spans="1:9">
      <c r="A25" t="s">
        <v>969</v>
      </c>
      <c r="B25">
        <v>4</v>
      </c>
      <c r="C25" t="s">
        <v>970</v>
      </c>
      <c r="D25" t="str">
        <f t="shared" si="0"/>
        <v>TO-s4-PAR</v>
      </c>
      <c r="E25" t="s">
        <v>434</v>
      </c>
      <c r="F25" t="s">
        <v>515</v>
      </c>
      <c r="G25" t="s">
        <v>514</v>
      </c>
      <c r="H25" t="s">
        <v>438</v>
      </c>
      <c r="I25" t="s">
        <v>516</v>
      </c>
    </row>
    <row r="26" spans="1:9">
      <c r="A26" t="s">
        <v>969</v>
      </c>
      <c r="B26">
        <v>5</v>
      </c>
      <c r="C26" t="s">
        <v>970</v>
      </c>
      <c r="D26" t="str">
        <f t="shared" si="0"/>
        <v>TO-s5-PAR</v>
      </c>
      <c r="E26" t="s">
        <v>430</v>
      </c>
      <c r="F26" t="s">
        <v>517</v>
      </c>
      <c r="G26" t="s">
        <v>518</v>
      </c>
      <c r="H26" t="s">
        <v>442</v>
      </c>
      <c r="I26" t="s">
        <v>519</v>
      </c>
    </row>
    <row r="27" spans="1:9">
      <c r="A27" t="s">
        <v>969</v>
      </c>
      <c r="B27">
        <v>5</v>
      </c>
      <c r="C27" t="s">
        <v>970</v>
      </c>
      <c r="D27" t="str">
        <f t="shared" si="0"/>
        <v>TO-s5-PAR</v>
      </c>
      <c r="E27" t="s">
        <v>424</v>
      </c>
      <c r="F27" t="s">
        <v>520</v>
      </c>
      <c r="G27" t="s">
        <v>521</v>
      </c>
      <c r="H27" t="s">
        <v>522</v>
      </c>
      <c r="I27" t="s">
        <v>523</v>
      </c>
    </row>
    <row r="28" spans="1:9">
      <c r="A28" t="s">
        <v>969</v>
      </c>
      <c r="B28">
        <v>5</v>
      </c>
      <c r="C28" t="s">
        <v>970</v>
      </c>
      <c r="D28" t="str">
        <f t="shared" si="0"/>
        <v>TO-s5-PAR</v>
      </c>
      <c r="E28" t="s">
        <v>431</v>
      </c>
      <c r="F28" t="s">
        <v>524</v>
      </c>
      <c r="G28" t="s">
        <v>525</v>
      </c>
      <c r="H28" t="s">
        <v>526</v>
      </c>
      <c r="I28" t="s">
        <v>527</v>
      </c>
    </row>
    <row r="29" spans="1:9">
      <c r="A29" t="s">
        <v>969</v>
      </c>
      <c r="B29">
        <v>5</v>
      </c>
      <c r="C29" t="s">
        <v>970</v>
      </c>
      <c r="D29" t="str">
        <f t="shared" si="0"/>
        <v>TO-s5-PAR</v>
      </c>
      <c r="E29" t="s">
        <v>432</v>
      </c>
      <c r="F29" t="s">
        <v>528</v>
      </c>
      <c r="G29" t="s">
        <v>529</v>
      </c>
      <c r="H29" t="s">
        <v>530</v>
      </c>
      <c r="I29" t="s">
        <v>531</v>
      </c>
    </row>
    <row r="30" spans="1:9">
      <c r="A30" t="s">
        <v>969</v>
      </c>
      <c r="B30">
        <v>5</v>
      </c>
      <c r="C30" t="s">
        <v>970</v>
      </c>
      <c r="D30" t="str">
        <f t="shared" si="0"/>
        <v>TO-s5-PAR</v>
      </c>
      <c r="E30" t="s">
        <v>433</v>
      </c>
      <c r="F30" t="s">
        <v>532</v>
      </c>
      <c r="G30" t="s">
        <v>533</v>
      </c>
      <c r="H30" t="s">
        <v>474</v>
      </c>
      <c r="I30" t="s">
        <v>534</v>
      </c>
    </row>
    <row r="31" spans="1:9">
      <c r="A31" t="s">
        <v>969</v>
      </c>
      <c r="B31">
        <v>5</v>
      </c>
      <c r="C31" t="s">
        <v>970</v>
      </c>
      <c r="D31" t="str">
        <f t="shared" si="0"/>
        <v>TO-s5-PAR</v>
      </c>
      <c r="E31" t="s">
        <v>434</v>
      </c>
      <c r="F31" t="s">
        <v>535</v>
      </c>
      <c r="G31" t="s">
        <v>536</v>
      </c>
      <c r="H31" t="s">
        <v>94</v>
      </c>
      <c r="I31" t="s">
        <v>538</v>
      </c>
    </row>
    <row r="32" spans="1:9">
      <c r="A32" t="s">
        <v>969</v>
      </c>
      <c r="B32">
        <v>6</v>
      </c>
      <c r="C32" t="s">
        <v>970</v>
      </c>
      <c r="D32" t="str">
        <f t="shared" si="0"/>
        <v>TO-s6-PAR</v>
      </c>
      <c r="E32" t="s">
        <v>430</v>
      </c>
      <c r="F32" t="s">
        <v>539</v>
      </c>
      <c r="G32" t="s">
        <v>540</v>
      </c>
      <c r="H32" t="s">
        <v>169</v>
      </c>
      <c r="I32" t="s">
        <v>541</v>
      </c>
    </row>
    <row r="33" spans="1:9">
      <c r="A33" t="s">
        <v>969</v>
      </c>
      <c r="B33">
        <v>6</v>
      </c>
      <c r="C33" t="s">
        <v>970</v>
      </c>
      <c r="D33" t="str">
        <f t="shared" si="0"/>
        <v>TO-s6-PAR</v>
      </c>
      <c r="E33" t="s">
        <v>424</v>
      </c>
      <c r="F33" t="s">
        <v>542</v>
      </c>
      <c r="G33" t="s">
        <v>543</v>
      </c>
      <c r="H33" t="s">
        <v>175</v>
      </c>
      <c r="I33" t="s">
        <v>544</v>
      </c>
    </row>
    <row r="34" spans="1:9">
      <c r="A34" t="s">
        <v>969</v>
      </c>
      <c r="B34">
        <v>6</v>
      </c>
      <c r="C34" t="s">
        <v>970</v>
      </c>
      <c r="D34" t="str">
        <f t="shared" si="0"/>
        <v>TO-s6-PAR</v>
      </c>
      <c r="E34" t="s">
        <v>431</v>
      </c>
      <c r="F34" t="s">
        <v>545</v>
      </c>
      <c r="G34" t="s">
        <v>546</v>
      </c>
      <c r="H34" t="s">
        <v>459</v>
      </c>
      <c r="I34" t="s">
        <v>547</v>
      </c>
    </row>
    <row r="35" spans="1:9">
      <c r="A35" t="s">
        <v>969</v>
      </c>
      <c r="B35">
        <v>6</v>
      </c>
      <c r="C35" t="s">
        <v>970</v>
      </c>
      <c r="D35" t="str">
        <f t="shared" si="0"/>
        <v>TO-s6-PAR</v>
      </c>
      <c r="E35" t="s">
        <v>432</v>
      </c>
      <c r="F35" t="s">
        <v>548</v>
      </c>
      <c r="G35" t="s">
        <v>549</v>
      </c>
      <c r="H35" t="s">
        <v>550</v>
      </c>
      <c r="I35" t="s">
        <v>551</v>
      </c>
    </row>
    <row r="36" spans="1:9">
      <c r="A36" t="s">
        <v>969</v>
      </c>
      <c r="B36">
        <v>6</v>
      </c>
      <c r="C36" t="s">
        <v>970</v>
      </c>
      <c r="D36" t="str">
        <f t="shared" si="0"/>
        <v>TO-s6-PAR</v>
      </c>
      <c r="E36" t="s">
        <v>433</v>
      </c>
      <c r="F36" t="s">
        <v>552</v>
      </c>
      <c r="G36" t="s">
        <v>553</v>
      </c>
      <c r="H36" t="s">
        <v>554</v>
      </c>
      <c r="I36" t="s">
        <v>555</v>
      </c>
    </row>
    <row r="37" spans="1:9">
      <c r="A37" t="s">
        <v>969</v>
      </c>
      <c r="B37">
        <v>6</v>
      </c>
      <c r="C37" t="s">
        <v>970</v>
      </c>
      <c r="D37" t="str">
        <f t="shared" si="0"/>
        <v>TO-s6-PAR</v>
      </c>
      <c r="E37" t="s">
        <v>434</v>
      </c>
      <c r="F37" t="s">
        <v>556</v>
      </c>
      <c r="G37" t="s">
        <v>557</v>
      </c>
      <c r="H37" t="s">
        <v>87</v>
      </c>
      <c r="I37" t="s">
        <v>558</v>
      </c>
    </row>
    <row r="38" spans="1:9">
      <c r="A38" t="s">
        <v>969</v>
      </c>
      <c r="B38">
        <v>7</v>
      </c>
      <c r="C38" t="s">
        <v>970</v>
      </c>
      <c r="D38" t="str">
        <f t="shared" si="0"/>
        <v>TO-s7-PAR</v>
      </c>
      <c r="E38" t="s">
        <v>430</v>
      </c>
      <c r="F38" t="s">
        <v>559</v>
      </c>
      <c r="G38" t="s">
        <v>560</v>
      </c>
      <c r="H38" t="s">
        <v>466</v>
      </c>
      <c r="I38" t="s">
        <v>561</v>
      </c>
    </row>
    <row r="39" spans="1:9">
      <c r="A39" t="s">
        <v>969</v>
      </c>
      <c r="B39">
        <v>7</v>
      </c>
      <c r="C39" t="s">
        <v>970</v>
      </c>
      <c r="D39" t="str">
        <f t="shared" si="0"/>
        <v>TO-s7-PAR</v>
      </c>
      <c r="E39" t="s">
        <v>424</v>
      </c>
      <c r="F39" t="s">
        <v>562</v>
      </c>
      <c r="G39" t="s">
        <v>563</v>
      </c>
      <c r="H39" t="s">
        <v>564</v>
      </c>
      <c r="I39" t="s">
        <v>565</v>
      </c>
    </row>
    <row r="40" spans="1:9">
      <c r="A40" t="s">
        <v>969</v>
      </c>
      <c r="B40">
        <v>7</v>
      </c>
      <c r="C40" t="s">
        <v>970</v>
      </c>
      <c r="D40" t="str">
        <f t="shared" si="0"/>
        <v>TO-s7-PAR</v>
      </c>
      <c r="E40" t="s">
        <v>431</v>
      </c>
      <c r="F40" t="s">
        <v>566</v>
      </c>
      <c r="G40" t="s">
        <v>567</v>
      </c>
      <c r="H40" t="s">
        <v>169</v>
      </c>
      <c r="I40" t="s">
        <v>568</v>
      </c>
    </row>
    <row r="41" spans="1:9">
      <c r="A41" t="s">
        <v>969</v>
      </c>
      <c r="B41">
        <v>7</v>
      </c>
      <c r="C41" t="s">
        <v>970</v>
      </c>
      <c r="D41" t="str">
        <f t="shared" si="0"/>
        <v>TO-s7-PAR</v>
      </c>
      <c r="E41" t="s">
        <v>432</v>
      </c>
      <c r="F41" t="s">
        <v>569</v>
      </c>
      <c r="G41" t="s">
        <v>570</v>
      </c>
      <c r="H41" t="s">
        <v>427</v>
      </c>
      <c r="I41" t="s">
        <v>571</v>
      </c>
    </row>
    <row r="42" spans="1:9">
      <c r="A42" t="s">
        <v>969</v>
      </c>
      <c r="B42">
        <v>7</v>
      </c>
      <c r="C42" t="s">
        <v>970</v>
      </c>
      <c r="D42" t="str">
        <f t="shared" si="0"/>
        <v>TO-s7-PAR</v>
      </c>
      <c r="E42" t="s">
        <v>433</v>
      </c>
      <c r="F42" t="s">
        <v>572</v>
      </c>
      <c r="G42" t="s">
        <v>573</v>
      </c>
      <c r="H42" t="s">
        <v>526</v>
      </c>
      <c r="I42" t="s">
        <v>574</v>
      </c>
    </row>
    <row r="43" spans="1:9">
      <c r="A43" t="s">
        <v>969</v>
      </c>
      <c r="B43">
        <v>7</v>
      </c>
      <c r="C43" t="s">
        <v>970</v>
      </c>
      <c r="D43" t="str">
        <f t="shared" si="0"/>
        <v>TO-s7-PAR</v>
      </c>
      <c r="E43" t="s">
        <v>434</v>
      </c>
      <c r="F43" t="s">
        <v>575</v>
      </c>
      <c r="G43" t="s">
        <v>576</v>
      </c>
      <c r="H43" t="s">
        <v>481</v>
      </c>
      <c r="I43" t="s">
        <v>577</v>
      </c>
    </row>
    <row r="44" spans="1:9">
      <c r="A44" t="s">
        <v>969</v>
      </c>
      <c r="B44">
        <v>8</v>
      </c>
      <c r="C44" t="s">
        <v>970</v>
      </c>
      <c r="D44" t="str">
        <f t="shared" si="0"/>
        <v>TO-s8-PAR</v>
      </c>
      <c r="E44" t="s">
        <v>430</v>
      </c>
      <c r="F44" t="s">
        <v>578</v>
      </c>
      <c r="G44" t="s">
        <v>579</v>
      </c>
      <c r="H44" t="s">
        <v>580</v>
      </c>
      <c r="I44" t="s">
        <v>581</v>
      </c>
    </row>
    <row r="45" spans="1:9">
      <c r="A45" t="s">
        <v>969</v>
      </c>
      <c r="B45">
        <v>8</v>
      </c>
      <c r="C45" t="s">
        <v>970</v>
      </c>
      <c r="D45" t="str">
        <f t="shared" si="0"/>
        <v>TO-s8-PAR</v>
      </c>
      <c r="E45" t="s">
        <v>424</v>
      </c>
      <c r="F45" t="s">
        <v>582</v>
      </c>
      <c r="G45" t="s">
        <v>583</v>
      </c>
      <c r="H45" t="s">
        <v>481</v>
      </c>
      <c r="I45" t="s">
        <v>584</v>
      </c>
    </row>
    <row r="46" spans="1:9">
      <c r="A46" t="s">
        <v>969</v>
      </c>
      <c r="B46">
        <v>8</v>
      </c>
      <c r="C46" t="s">
        <v>970</v>
      </c>
      <c r="D46" t="str">
        <f t="shared" si="0"/>
        <v>TO-s8-PAR</v>
      </c>
      <c r="E46" t="s">
        <v>431</v>
      </c>
      <c r="F46" t="s">
        <v>585</v>
      </c>
      <c r="G46" t="s">
        <v>74</v>
      </c>
      <c r="H46" t="s">
        <v>586</v>
      </c>
      <c r="I46" t="s">
        <v>587</v>
      </c>
    </row>
    <row r="47" spans="1:9">
      <c r="A47" t="s">
        <v>969</v>
      </c>
      <c r="B47">
        <v>8</v>
      </c>
      <c r="C47" t="s">
        <v>970</v>
      </c>
      <c r="D47" t="str">
        <f t="shared" si="0"/>
        <v>TO-s8-PAR</v>
      </c>
      <c r="E47" t="s">
        <v>432</v>
      </c>
      <c r="F47" t="s">
        <v>588</v>
      </c>
      <c r="G47" t="s">
        <v>589</v>
      </c>
      <c r="H47" t="s">
        <v>590</v>
      </c>
      <c r="I47" t="s">
        <v>591</v>
      </c>
    </row>
    <row r="48" spans="1:9">
      <c r="A48" t="s">
        <v>969</v>
      </c>
      <c r="B48">
        <v>8</v>
      </c>
      <c r="C48" t="s">
        <v>970</v>
      </c>
      <c r="D48" t="str">
        <f t="shared" si="0"/>
        <v>TO-s8-PAR</v>
      </c>
      <c r="E48" t="s">
        <v>433</v>
      </c>
      <c r="F48" t="s">
        <v>592</v>
      </c>
      <c r="G48" t="s">
        <v>593</v>
      </c>
      <c r="H48" t="s">
        <v>594</v>
      </c>
      <c r="I48" t="s">
        <v>595</v>
      </c>
    </row>
    <row r="49" spans="1:9">
      <c r="A49" t="s">
        <v>969</v>
      </c>
      <c r="B49">
        <v>8</v>
      </c>
      <c r="C49" t="s">
        <v>970</v>
      </c>
      <c r="D49" t="str">
        <f t="shared" si="0"/>
        <v>TO-s8-PAR</v>
      </c>
      <c r="E49" t="s">
        <v>434</v>
      </c>
      <c r="F49" t="s">
        <v>596</v>
      </c>
      <c r="G49" t="s">
        <v>597</v>
      </c>
      <c r="H49" t="s">
        <v>598</v>
      </c>
      <c r="I49" t="s">
        <v>599</v>
      </c>
    </row>
    <row r="50" spans="1:9">
      <c r="A50" t="s">
        <v>969</v>
      </c>
      <c r="B50">
        <v>9</v>
      </c>
      <c r="C50" t="s">
        <v>970</v>
      </c>
      <c r="D50" t="str">
        <f t="shared" si="0"/>
        <v>TO-s9-PAR</v>
      </c>
      <c r="E50" t="s">
        <v>430</v>
      </c>
      <c r="F50" t="s">
        <v>600</v>
      </c>
      <c r="G50" t="s">
        <v>601</v>
      </c>
      <c r="H50" t="s">
        <v>602</v>
      </c>
      <c r="I50" t="s">
        <v>603</v>
      </c>
    </row>
    <row r="51" spans="1:9">
      <c r="A51" t="s">
        <v>969</v>
      </c>
      <c r="B51">
        <v>9</v>
      </c>
      <c r="C51" t="s">
        <v>970</v>
      </c>
      <c r="D51" t="str">
        <f t="shared" si="0"/>
        <v>TO-s9-PAR</v>
      </c>
      <c r="E51" t="s">
        <v>424</v>
      </c>
      <c r="F51" t="s">
        <v>604</v>
      </c>
      <c r="G51" t="s">
        <v>605</v>
      </c>
      <c r="H51" t="s">
        <v>459</v>
      </c>
      <c r="I51" t="s">
        <v>606</v>
      </c>
    </row>
    <row r="52" spans="1:9">
      <c r="A52" t="s">
        <v>969</v>
      </c>
      <c r="B52">
        <v>9</v>
      </c>
      <c r="C52" t="s">
        <v>970</v>
      </c>
      <c r="D52" t="str">
        <f t="shared" si="0"/>
        <v>TO-s9-PAR</v>
      </c>
      <c r="E52" t="s">
        <v>431</v>
      </c>
      <c r="F52" t="s">
        <v>607</v>
      </c>
      <c r="G52" t="s">
        <v>608</v>
      </c>
      <c r="H52" t="s">
        <v>120</v>
      </c>
      <c r="I52" t="s">
        <v>609</v>
      </c>
    </row>
    <row r="53" spans="1:9">
      <c r="A53" t="s">
        <v>969</v>
      </c>
      <c r="B53">
        <v>9</v>
      </c>
      <c r="C53" t="s">
        <v>970</v>
      </c>
      <c r="D53" t="str">
        <f t="shared" si="0"/>
        <v>TO-s9-PAR</v>
      </c>
      <c r="E53" t="s">
        <v>432</v>
      </c>
      <c r="F53" t="s">
        <v>610</v>
      </c>
      <c r="G53" t="s">
        <v>611</v>
      </c>
      <c r="H53" t="s">
        <v>466</v>
      </c>
      <c r="I53" t="s">
        <v>612</v>
      </c>
    </row>
    <row r="54" spans="1:9">
      <c r="A54" t="s">
        <v>969</v>
      </c>
      <c r="B54">
        <v>9</v>
      </c>
      <c r="C54" t="s">
        <v>970</v>
      </c>
      <c r="D54" t="str">
        <f t="shared" si="0"/>
        <v>TO-s9-PAR</v>
      </c>
      <c r="E54" t="s">
        <v>433</v>
      </c>
      <c r="F54" t="s">
        <v>613</v>
      </c>
      <c r="G54" t="s">
        <v>614</v>
      </c>
      <c r="H54" t="s">
        <v>175</v>
      </c>
      <c r="I54" t="s">
        <v>615</v>
      </c>
    </row>
    <row r="55" spans="1:9">
      <c r="A55" t="s">
        <v>969</v>
      </c>
      <c r="B55">
        <v>9</v>
      </c>
      <c r="C55" t="s">
        <v>970</v>
      </c>
      <c r="D55" t="str">
        <f t="shared" si="0"/>
        <v>TO-s9-PAR</v>
      </c>
      <c r="E55" t="s">
        <v>434</v>
      </c>
      <c r="F55" t="s">
        <v>616</v>
      </c>
      <c r="G55" t="s">
        <v>617</v>
      </c>
      <c r="H55" t="s">
        <v>618</v>
      </c>
      <c r="I55" t="s">
        <v>619</v>
      </c>
    </row>
    <row r="56" spans="1:9">
      <c r="A56" t="s">
        <v>969</v>
      </c>
      <c r="B56">
        <v>10</v>
      </c>
      <c r="C56" t="s">
        <v>970</v>
      </c>
      <c r="D56" t="str">
        <f t="shared" si="0"/>
        <v>TO-s10-PAR</v>
      </c>
      <c r="E56" t="s">
        <v>430</v>
      </c>
      <c r="F56" t="s">
        <v>620</v>
      </c>
      <c r="G56" t="s">
        <v>621</v>
      </c>
      <c r="H56" t="s">
        <v>622</v>
      </c>
      <c r="I56" t="s">
        <v>623</v>
      </c>
    </row>
    <row r="57" spans="1:9">
      <c r="A57" t="s">
        <v>969</v>
      </c>
      <c r="B57">
        <v>10</v>
      </c>
      <c r="C57" t="s">
        <v>970</v>
      </c>
      <c r="D57" t="str">
        <f t="shared" ref="D57:D114" si="2">_xlfn.CONCAT("TO-s",B57,"-PAR")</f>
        <v>TO-s10-PAR</v>
      </c>
      <c r="E57" t="s">
        <v>424</v>
      </c>
      <c r="F57" t="s">
        <v>624</v>
      </c>
      <c r="G57" t="s">
        <v>625</v>
      </c>
      <c r="H57" t="s">
        <v>626</v>
      </c>
      <c r="I57" t="s">
        <v>385</v>
      </c>
    </row>
    <row r="58" spans="1:9">
      <c r="A58" t="s">
        <v>969</v>
      </c>
      <c r="B58">
        <v>10</v>
      </c>
      <c r="C58" t="s">
        <v>970</v>
      </c>
      <c r="D58" t="str">
        <f t="shared" si="2"/>
        <v>TO-s10-PAR</v>
      </c>
      <c r="E58" t="s">
        <v>431</v>
      </c>
      <c r="F58" t="s">
        <v>627</v>
      </c>
      <c r="G58" t="s">
        <v>628</v>
      </c>
      <c r="H58" t="s">
        <v>629</v>
      </c>
      <c r="I58" t="s">
        <v>630</v>
      </c>
    </row>
    <row r="59" spans="1:9">
      <c r="A59" t="s">
        <v>969</v>
      </c>
      <c r="B59">
        <v>10</v>
      </c>
      <c r="C59" t="s">
        <v>970</v>
      </c>
      <c r="D59" t="str">
        <f t="shared" si="2"/>
        <v>TO-s10-PAR</v>
      </c>
      <c r="E59" t="s">
        <v>432</v>
      </c>
      <c r="F59" t="s">
        <v>631</v>
      </c>
      <c r="G59" t="s">
        <v>632</v>
      </c>
      <c r="H59" t="s">
        <v>133</v>
      </c>
      <c r="I59" t="s">
        <v>633</v>
      </c>
    </row>
    <row r="60" spans="1:9">
      <c r="A60" t="s">
        <v>969</v>
      </c>
      <c r="B60">
        <v>10</v>
      </c>
      <c r="C60" t="s">
        <v>970</v>
      </c>
      <c r="D60" t="str">
        <f t="shared" si="2"/>
        <v>TO-s10-PAR</v>
      </c>
      <c r="E60" t="s">
        <v>433</v>
      </c>
      <c r="F60" t="s">
        <v>634</v>
      </c>
      <c r="G60" t="s">
        <v>635</v>
      </c>
      <c r="H60" t="s">
        <v>636</v>
      </c>
      <c r="I60" t="s">
        <v>637</v>
      </c>
    </row>
    <row r="61" spans="1:9">
      <c r="A61" t="s">
        <v>969</v>
      </c>
      <c r="B61">
        <v>10</v>
      </c>
      <c r="C61" t="s">
        <v>970</v>
      </c>
      <c r="D61" t="str">
        <f t="shared" si="2"/>
        <v>TO-s10-PAR</v>
      </c>
      <c r="E61" t="s">
        <v>434</v>
      </c>
      <c r="F61" t="s">
        <v>638</v>
      </c>
      <c r="G61" t="s">
        <v>639</v>
      </c>
      <c r="H61" t="s">
        <v>640</v>
      </c>
      <c r="I61" t="s">
        <v>641</v>
      </c>
    </row>
    <row r="62" spans="1:9">
      <c r="A62" t="s">
        <v>969</v>
      </c>
      <c r="B62">
        <v>11</v>
      </c>
      <c r="C62" t="s">
        <v>970</v>
      </c>
      <c r="D62" t="str">
        <f>_xlfn.CONCAT("TO-s",B62,"-PAR")</f>
        <v>TO-s11-PAR</v>
      </c>
      <c r="E62" t="s">
        <v>430</v>
      </c>
      <c r="F62" t="s">
        <v>642</v>
      </c>
      <c r="G62" t="s">
        <v>643</v>
      </c>
      <c r="H62" t="s">
        <v>488</v>
      </c>
      <c r="I62" t="s">
        <v>644</v>
      </c>
    </row>
    <row r="63" spans="1:9">
      <c r="A63" t="s">
        <v>969</v>
      </c>
      <c r="B63">
        <v>11</v>
      </c>
      <c r="C63" t="s">
        <v>970</v>
      </c>
      <c r="D63" t="str">
        <f t="shared" si="2"/>
        <v>TO-s11-PAR</v>
      </c>
      <c r="E63" t="s">
        <v>424</v>
      </c>
      <c r="F63" t="s">
        <v>645</v>
      </c>
      <c r="G63" t="s">
        <v>646</v>
      </c>
      <c r="H63" t="s">
        <v>133</v>
      </c>
      <c r="I63" t="s">
        <v>647</v>
      </c>
    </row>
    <row r="64" spans="1:9">
      <c r="A64" t="s">
        <v>969</v>
      </c>
      <c r="B64">
        <v>11</v>
      </c>
      <c r="C64" t="s">
        <v>970</v>
      </c>
      <c r="D64" t="str">
        <f t="shared" si="2"/>
        <v>TO-s11-PAR</v>
      </c>
      <c r="E64" t="s">
        <v>431</v>
      </c>
      <c r="F64" t="s">
        <v>648</v>
      </c>
      <c r="G64" t="s">
        <v>649</v>
      </c>
      <c r="H64" t="s">
        <v>175</v>
      </c>
      <c r="I64" t="s">
        <v>650</v>
      </c>
    </row>
    <row r="65" spans="1:9">
      <c r="A65" t="s">
        <v>969</v>
      </c>
      <c r="B65">
        <v>11</v>
      </c>
      <c r="C65" t="s">
        <v>970</v>
      </c>
      <c r="D65" t="str">
        <f t="shared" si="2"/>
        <v>TO-s11-PAR</v>
      </c>
      <c r="E65" t="s">
        <v>432</v>
      </c>
      <c r="F65" t="s">
        <v>651</v>
      </c>
      <c r="G65" t="s">
        <v>652</v>
      </c>
      <c r="H65" t="s">
        <v>653</v>
      </c>
      <c r="I65" t="s">
        <v>654</v>
      </c>
    </row>
    <row r="66" spans="1:9">
      <c r="A66" t="s">
        <v>969</v>
      </c>
      <c r="B66">
        <v>11</v>
      </c>
      <c r="C66" t="s">
        <v>970</v>
      </c>
      <c r="D66" t="str">
        <f t="shared" si="2"/>
        <v>TO-s11-PAR</v>
      </c>
      <c r="E66" t="s">
        <v>433</v>
      </c>
      <c r="F66" t="s">
        <v>655</v>
      </c>
      <c r="G66" t="s">
        <v>656</v>
      </c>
      <c r="H66" t="s">
        <v>618</v>
      </c>
      <c r="I66" t="s">
        <v>657</v>
      </c>
    </row>
    <row r="67" spans="1:9">
      <c r="A67" t="s">
        <v>969</v>
      </c>
      <c r="B67">
        <v>11</v>
      </c>
      <c r="C67" t="s">
        <v>970</v>
      </c>
      <c r="D67" t="str">
        <f t="shared" si="2"/>
        <v>TO-s11-PAR</v>
      </c>
      <c r="E67" t="s">
        <v>434</v>
      </c>
      <c r="F67" t="s">
        <v>658</v>
      </c>
      <c r="G67" t="s">
        <v>659</v>
      </c>
      <c r="H67" t="s">
        <v>580</v>
      </c>
      <c r="I67" t="s">
        <v>389</v>
      </c>
    </row>
    <row r="68" spans="1:9">
      <c r="A68" t="s">
        <v>969</v>
      </c>
      <c r="B68">
        <v>12</v>
      </c>
      <c r="C68" t="s">
        <v>970</v>
      </c>
      <c r="D68" t="str">
        <f>_xlfn.CONCAT("TO-s",B68,"-PAR")</f>
        <v>TO-s12-PAR</v>
      </c>
      <c r="E68" t="s">
        <v>430</v>
      </c>
      <c r="F68" t="s">
        <v>660</v>
      </c>
      <c r="G68" t="s">
        <v>661</v>
      </c>
      <c r="H68" t="s">
        <v>455</v>
      </c>
      <c r="I68" t="s">
        <v>662</v>
      </c>
    </row>
    <row r="69" spans="1:9">
      <c r="A69" t="s">
        <v>969</v>
      </c>
      <c r="B69">
        <v>12</v>
      </c>
      <c r="C69" t="s">
        <v>970</v>
      </c>
      <c r="D69" t="str">
        <f t="shared" si="2"/>
        <v>TO-s12-PAR</v>
      </c>
      <c r="E69" t="s">
        <v>424</v>
      </c>
      <c r="F69" t="s">
        <v>663</v>
      </c>
      <c r="G69" t="s">
        <v>664</v>
      </c>
      <c r="H69" t="s">
        <v>590</v>
      </c>
      <c r="I69" t="s">
        <v>665</v>
      </c>
    </row>
    <row r="70" spans="1:9">
      <c r="A70" t="s">
        <v>969</v>
      </c>
      <c r="B70">
        <v>12</v>
      </c>
      <c r="C70" t="s">
        <v>970</v>
      </c>
      <c r="D70" t="str">
        <f t="shared" si="2"/>
        <v>TO-s12-PAR</v>
      </c>
      <c r="E70" t="s">
        <v>431</v>
      </c>
      <c r="F70" t="s">
        <v>666</v>
      </c>
      <c r="G70" t="s">
        <v>667</v>
      </c>
      <c r="H70" t="s">
        <v>668</v>
      </c>
      <c r="I70" t="s">
        <v>669</v>
      </c>
    </row>
    <row r="71" spans="1:9">
      <c r="A71" t="s">
        <v>969</v>
      </c>
      <c r="B71">
        <v>12</v>
      </c>
      <c r="C71" t="s">
        <v>970</v>
      </c>
      <c r="D71" t="str">
        <f t="shared" si="2"/>
        <v>TO-s12-PAR</v>
      </c>
      <c r="E71" t="s">
        <v>432</v>
      </c>
      <c r="F71" t="s">
        <v>670</v>
      </c>
      <c r="G71" t="s">
        <v>671</v>
      </c>
      <c r="H71" t="s">
        <v>175</v>
      </c>
      <c r="I71" t="s">
        <v>672</v>
      </c>
    </row>
    <row r="72" spans="1:9">
      <c r="A72" t="s">
        <v>969</v>
      </c>
      <c r="B72">
        <v>12</v>
      </c>
      <c r="C72" t="s">
        <v>970</v>
      </c>
      <c r="D72" t="str">
        <f t="shared" si="2"/>
        <v>TO-s12-PAR</v>
      </c>
      <c r="E72" t="s">
        <v>433</v>
      </c>
      <c r="F72" t="s">
        <v>673</v>
      </c>
      <c r="G72" t="s">
        <v>674</v>
      </c>
      <c r="H72" t="s">
        <v>502</v>
      </c>
      <c r="I72" t="s">
        <v>675</v>
      </c>
    </row>
    <row r="73" spans="1:9">
      <c r="A73" t="s">
        <v>969</v>
      </c>
      <c r="B73">
        <v>12</v>
      </c>
      <c r="C73" t="s">
        <v>970</v>
      </c>
      <c r="D73" t="str">
        <f t="shared" si="2"/>
        <v>TO-s12-PAR</v>
      </c>
      <c r="E73" t="s">
        <v>434</v>
      </c>
      <c r="F73" t="s">
        <v>676</v>
      </c>
      <c r="G73" t="s">
        <v>677</v>
      </c>
      <c r="H73" t="s">
        <v>502</v>
      </c>
      <c r="I73" t="s">
        <v>678</v>
      </c>
    </row>
    <row r="74" spans="1:9">
      <c r="A74" t="s">
        <v>969</v>
      </c>
      <c r="B74">
        <v>13</v>
      </c>
      <c r="C74" t="s">
        <v>970</v>
      </c>
      <c r="D74" t="str">
        <f>_xlfn.CONCAT("TO-s",B74,"-PAR")</f>
        <v>TO-s13-PAR</v>
      </c>
      <c r="E74" t="s">
        <v>430</v>
      </c>
      <c r="F74" t="s">
        <v>679</v>
      </c>
      <c r="G74" t="s">
        <v>680</v>
      </c>
      <c r="H74" t="s">
        <v>681</v>
      </c>
      <c r="I74" t="s">
        <v>682</v>
      </c>
    </row>
    <row r="75" spans="1:9">
      <c r="A75" t="s">
        <v>969</v>
      </c>
      <c r="B75">
        <v>13</v>
      </c>
      <c r="C75" t="s">
        <v>970</v>
      </c>
      <c r="D75" t="str">
        <f t="shared" si="2"/>
        <v>TO-s13-PAR</v>
      </c>
      <c r="E75" t="s">
        <v>424</v>
      </c>
      <c r="F75" t="s">
        <v>683</v>
      </c>
      <c r="G75" t="s">
        <v>684</v>
      </c>
      <c r="H75" t="s">
        <v>685</v>
      </c>
      <c r="I75" t="s">
        <v>686</v>
      </c>
    </row>
    <row r="76" spans="1:9">
      <c r="A76" t="s">
        <v>969</v>
      </c>
      <c r="B76">
        <v>13</v>
      </c>
      <c r="C76" t="s">
        <v>970</v>
      </c>
      <c r="D76" t="str">
        <f t="shared" si="2"/>
        <v>TO-s13-PAR</v>
      </c>
      <c r="E76" t="s">
        <v>431</v>
      </c>
      <c r="F76" t="s">
        <v>687</v>
      </c>
      <c r="G76" t="s">
        <v>688</v>
      </c>
      <c r="H76" t="s">
        <v>689</v>
      </c>
      <c r="I76" t="s">
        <v>690</v>
      </c>
    </row>
    <row r="77" spans="1:9">
      <c r="A77" t="s">
        <v>969</v>
      </c>
      <c r="B77">
        <v>13</v>
      </c>
      <c r="C77" t="s">
        <v>970</v>
      </c>
      <c r="D77" t="str">
        <f t="shared" si="2"/>
        <v>TO-s13-PAR</v>
      </c>
      <c r="E77" t="s">
        <v>432</v>
      </c>
      <c r="F77" t="s">
        <v>691</v>
      </c>
      <c r="G77" t="s">
        <v>692</v>
      </c>
      <c r="H77" t="s">
        <v>470</v>
      </c>
      <c r="I77" t="s">
        <v>693</v>
      </c>
    </row>
    <row r="78" spans="1:9">
      <c r="A78" t="s">
        <v>969</v>
      </c>
      <c r="B78">
        <v>13</v>
      </c>
      <c r="C78" t="s">
        <v>970</v>
      </c>
      <c r="D78" t="str">
        <f t="shared" si="2"/>
        <v>TO-s13-PAR</v>
      </c>
      <c r="E78" t="s">
        <v>433</v>
      </c>
      <c r="F78" t="s">
        <v>694</v>
      </c>
      <c r="G78" t="s">
        <v>695</v>
      </c>
      <c r="H78" t="s">
        <v>696</v>
      </c>
      <c r="I78" t="s">
        <v>391</v>
      </c>
    </row>
    <row r="79" spans="1:9">
      <c r="A79" t="s">
        <v>969</v>
      </c>
      <c r="B79">
        <v>13</v>
      </c>
      <c r="C79" t="s">
        <v>970</v>
      </c>
      <c r="D79" t="str">
        <f t="shared" si="2"/>
        <v>TO-s13-PAR</v>
      </c>
      <c r="E79" t="s">
        <v>434</v>
      </c>
      <c r="F79" t="s">
        <v>697</v>
      </c>
      <c r="G79" t="s">
        <v>698</v>
      </c>
      <c r="H79" t="s">
        <v>438</v>
      </c>
      <c r="I79" t="s">
        <v>699</v>
      </c>
    </row>
    <row r="80" spans="1:9">
      <c r="A80" t="s">
        <v>969</v>
      </c>
      <c r="B80">
        <v>14</v>
      </c>
      <c r="C80" t="s">
        <v>970</v>
      </c>
      <c r="D80" t="str">
        <f>_xlfn.CONCAT("TO-s",B80,"-PAR")</f>
        <v>TO-s14-PAR</v>
      </c>
      <c r="E80" t="s">
        <v>430</v>
      </c>
      <c r="F80" t="s">
        <v>700</v>
      </c>
      <c r="G80" t="s">
        <v>701</v>
      </c>
      <c r="H80" t="s">
        <v>466</v>
      </c>
      <c r="I80" t="s">
        <v>702</v>
      </c>
    </row>
    <row r="81" spans="1:9">
      <c r="A81" t="s">
        <v>969</v>
      </c>
      <c r="B81">
        <v>14</v>
      </c>
      <c r="C81" t="s">
        <v>970</v>
      </c>
      <c r="D81" t="str">
        <f t="shared" si="2"/>
        <v>TO-s14-PAR</v>
      </c>
      <c r="E81" t="s">
        <v>424</v>
      </c>
      <c r="F81" t="s">
        <v>703</v>
      </c>
      <c r="G81" t="s">
        <v>704</v>
      </c>
      <c r="H81" t="s">
        <v>163</v>
      </c>
      <c r="I81" t="s">
        <v>705</v>
      </c>
    </row>
    <row r="82" spans="1:9">
      <c r="A82" t="s">
        <v>969</v>
      </c>
      <c r="B82">
        <v>14</v>
      </c>
      <c r="C82" t="s">
        <v>970</v>
      </c>
      <c r="D82" t="str">
        <f t="shared" si="2"/>
        <v>TO-s14-PAR</v>
      </c>
      <c r="E82" t="s">
        <v>431</v>
      </c>
      <c r="F82" t="s">
        <v>706</v>
      </c>
      <c r="G82" t="s">
        <v>707</v>
      </c>
      <c r="H82" t="s">
        <v>422</v>
      </c>
      <c r="I82" t="s">
        <v>708</v>
      </c>
    </row>
    <row r="83" spans="1:9">
      <c r="A83" t="s">
        <v>969</v>
      </c>
      <c r="B83">
        <v>14</v>
      </c>
      <c r="C83" t="s">
        <v>970</v>
      </c>
      <c r="D83" t="str">
        <f t="shared" si="2"/>
        <v>TO-s14-PAR</v>
      </c>
      <c r="E83" t="s">
        <v>432</v>
      </c>
      <c r="F83" t="s">
        <v>709</v>
      </c>
      <c r="G83" t="s">
        <v>710</v>
      </c>
      <c r="H83" t="s">
        <v>422</v>
      </c>
      <c r="I83" t="s">
        <v>711</v>
      </c>
    </row>
    <row r="84" spans="1:9">
      <c r="A84" t="s">
        <v>969</v>
      </c>
      <c r="B84">
        <v>14</v>
      </c>
      <c r="C84" t="s">
        <v>970</v>
      </c>
      <c r="D84" t="str">
        <f t="shared" si="2"/>
        <v>TO-s14-PAR</v>
      </c>
      <c r="E84" t="s">
        <v>433</v>
      </c>
      <c r="F84" t="s">
        <v>712</v>
      </c>
      <c r="G84" t="s">
        <v>713</v>
      </c>
      <c r="H84" t="s">
        <v>714</v>
      </c>
      <c r="I84" t="s">
        <v>715</v>
      </c>
    </row>
    <row r="85" spans="1:9">
      <c r="A85" t="s">
        <v>969</v>
      </c>
      <c r="B85">
        <v>14</v>
      </c>
      <c r="C85" t="s">
        <v>970</v>
      </c>
      <c r="D85" t="str">
        <f t="shared" si="2"/>
        <v>TO-s14-PAR</v>
      </c>
      <c r="E85" t="s">
        <v>434</v>
      </c>
      <c r="F85" t="s">
        <v>716</v>
      </c>
      <c r="G85" t="s">
        <v>717</v>
      </c>
      <c r="H85" t="s">
        <v>718</v>
      </c>
      <c r="I85" t="s">
        <v>719</v>
      </c>
    </row>
    <row r="86" spans="1:9">
      <c r="A86" t="s">
        <v>969</v>
      </c>
      <c r="B86">
        <v>15</v>
      </c>
      <c r="C86" t="s">
        <v>970</v>
      </c>
      <c r="D86" t="str">
        <f>_xlfn.CONCAT("TO-s",B86,"-PAR")</f>
        <v>TO-s15-PAR</v>
      </c>
      <c r="E86" t="s">
        <v>430</v>
      </c>
      <c r="F86" t="s">
        <v>720</v>
      </c>
      <c r="G86" t="s">
        <v>454</v>
      </c>
      <c r="H86" t="s">
        <v>721</v>
      </c>
      <c r="I86" t="s">
        <v>722</v>
      </c>
    </row>
    <row r="87" spans="1:9">
      <c r="A87" t="s">
        <v>969</v>
      </c>
      <c r="B87">
        <v>15</v>
      </c>
      <c r="C87" t="s">
        <v>970</v>
      </c>
      <c r="D87" t="str">
        <f t="shared" si="2"/>
        <v>TO-s15-PAR</v>
      </c>
      <c r="E87" t="s">
        <v>424</v>
      </c>
      <c r="F87" t="s">
        <v>723</v>
      </c>
      <c r="G87" t="s">
        <v>724</v>
      </c>
      <c r="H87" t="s">
        <v>681</v>
      </c>
      <c r="I87" t="s">
        <v>725</v>
      </c>
    </row>
    <row r="88" spans="1:9">
      <c r="A88" t="s">
        <v>969</v>
      </c>
      <c r="B88">
        <v>15</v>
      </c>
      <c r="C88" t="s">
        <v>970</v>
      </c>
      <c r="D88" t="str">
        <f t="shared" si="2"/>
        <v>TO-s15-PAR</v>
      </c>
      <c r="E88" t="s">
        <v>431</v>
      </c>
      <c r="F88" t="s">
        <v>726</v>
      </c>
      <c r="G88" t="s">
        <v>727</v>
      </c>
      <c r="H88" t="s">
        <v>481</v>
      </c>
      <c r="I88" t="s">
        <v>728</v>
      </c>
    </row>
    <row r="89" spans="1:9">
      <c r="A89" t="s">
        <v>969</v>
      </c>
      <c r="B89">
        <v>15</v>
      </c>
      <c r="C89" t="s">
        <v>970</v>
      </c>
      <c r="D89" t="str">
        <f t="shared" si="2"/>
        <v>TO-s15-PAR</v>
      </c>
      <c r="E89" t="s">
        <v>432</v>
      </c>
      <c r="F89" t="s">
        <v>729</v>
      </c>
      <c r="G89" t="s">
        <v>730</v>
      </c>
      <c r="H89" t="s">
        <v>696</v>
      </c>
      <c r="I89" t="s">
        <v>731</v>
      </c>
    </row>
    <row r="90" spans="1:9">
      <c r="A90" t="s">
        <v>969</v>
      </c>
      <c r="B90">
        <v>15</v>
      </c>
      <c r="C90" t="s">
        <v>970</v>
      </c>
      <c r="D90" t="str">
        <f t="shared" si="2"/>
        <v>TO-s15-PAR</v>
      </c>
      <c r="E90" t="s">
        <v>433</v>
      </c>
      <c r="F90" t="s">
        <v>732</v>
      </c>
      <c r="G90" t="s">
        <v>733</v>
      </c>
      <c r="H90" t="s">
        <v>438</v>
      </c>
      <c r="I90" t="s">
        <v>734</v>
      </c>
    </row>
    <row r="91" spans="1:9">
      <c r="A91" t="s">
        <v>969</v>
      </c>
      <c r="B91">
        <v>15</v>
      </c>
      <c r="C91" t="s">
        <v>970</v>
      </c>
      <c r="D91" t="str">
        <f t="shared" si="2"/>
        <v>TO-s15-PAR</v>
      </c>
      <c r="E91" t="s">
        <v>434</v>
      </c>
      <c r="F91" t="s">
        <v>735</v>
      </c>
      <c r="G91" t="s">
        <v>736</v>
      </c>
      <c r="H91" t="s">
        <v>470</v>
      </c>
      <c r="I91" t="s">
        <v>737</v>
      </c>
    </row>
    <row r="92" spans="1:9">
      <c r="A92" t="s">
        <v>969</v>
      </c>
      <c r="B92">
        <v>16</v>
      </c>
      <c r="C92" t="s">
        <v>970</v>
      </c>
      <c r="D92" t="str">
        <f>_xlfn.CONCAT("TO-s",B92,"-PAR")</f>
        <v>TO-s16-PAR</v>
      </c>
      <c r="E92" t="s">
        <v>430</v>
      </c>
      <c r="F92" t="s">
        <v>738</v>
      </c>
      <c r="G92" t="s">
        <v>739</v>
      </c>
      <c r="H92" t="s">
        <v>681</v>
      </c>
      <c r="I92" t="s">
        <v>740</v>
      </c>
    </row>
    <row r="93" spans="1:9">
      <c r="A93" t="s">
        <v>969</v>
      </c>
      <c r="B93">
        <v>16</v>
      </c>
      <c r="C93" t="s">
        <v>970</v>
      </c>
      <c r="D93" t="str">
        <f t="shared" si="2"/>
        <v>TO-s16-PAR</v>
      </c>
      <c r="E93" t="s">
        <v>424</v>
      </c>
      <c r="F93" t="s">
        <v>741</v>
      </c>
      <c r="G93" t="s">
        <v>742</v>
      </c>
      <c r="H93" t="s">
        <v>175</v>
      </c>
      <c r="I93" t="s">
        <v>743</v>
      </c>
    </row>
    <row r="94" spans="1:9">
      <c r="A94" t="s">
        <v>969</v>
      </c>
      <c r="B94">
        <v>16</v>
      </c>
      <c r="C94" t="s">
        <v>970</v>
      </c>
      <c r="D94" t="str">
        <f t="shared" si="2"/>
        <v>TO-s16-PAR</v>
      </c>
      <c r="E94" t="s">
        <v>431</v>
      </c>
      <c r="F94" t="s">
        <v>744</v>
      </c>
      <c r="G94" t="s">
        <v>745</v>
      </c>
      <c r="H94" t="s">
        <v>291</v>
      </c>
      <c r="I94" t="s">
        <v>396</v>
      </c>
    </row>
    <row r="95" spans="1:9">
      <c r="A95" t="s">
        <v>969</v>
      </c>
      <c r="B95">
        <v>16</v>
      </c>
      <c r="C95" t="s">
        <v>970</v>
      </c>
      <c r="D95" t="str">
        <f t="shared" si="2"/>
        <v>TO-s16-PAR</v>
      </c>
      <c r="E95" t="s">
        <v>432</v>
      </c>
      <c r="F95" t="s">
        <v>746</v>
      </c>
      <c r="G95" t="s">
        <v>747</v>
      </c>
      <c r="H95" t="s">
        <v>481</v>
      </c>
      <c r="I95" t="s">
        <v>748</v>
      </c>
    </row>
    <row r="96" spans="1:9">
      <c r="A96" t="s">
        <v>969</v>
      </c>
      <c r="B96">
        <v>16</v>
      </c>
      <c r="C96" t="s">
        <v>970</v>
      </c>
      <c r="D96" t="str">
        <f t="shared" si="2"/>
        <v>TO-s16-PAR</v>
      </c>
      <c r="E96" t="s">
        <v>433</v>
      </c>
      <c r="F96" t="s">
        <v>749</v>
      </c>
      <c r="G96" t="s">
        <v>750</v>
      </c>
      <c r="H96" t="s">
        <v>512</v>
      </c>
      <c r="I96" t="s">
        <v>751</v>
      </c>
    </row>
    <row r="97" spans="1:9">
      <c r="A97" t="s">
        <v>969</v>
      </c>
      <c r="B97">
        <v>16</v>
      </c>
      <c r="C97" t="s">
        <v>970</v>
      </c>
      <c r="D97" t="str">
        <f t="shared" si="2"/>
        <v>TO-s16-PAR</v>
      </c>
      <c r="E97" t="s">
        <v>434</v>
      </c>
      <c r="F97" t="s">
        <v>752</v>
      </c>
      <c r="G97" t="s">
        <v>753</v>
      </c>
      <c r="H97" t="s">
        <v>530</v>
      </c>
      <c r="I97" t="s">
        <v>398</v>
      </c>
    </row>
    <row r="98" spans="1:9">
      <c r="A98" t="s">
        <v>969</v>
      </c>
      <c r="B98">
        <v>17</v>
      </c>
      <c r="C98" t="s">
        <v>970</v>
      </c>
      <c r="D98" t="str">
        <f>_xlfn.CONCAT("TO-s",B98,"-PAR")</f>
        <v>TO-s17-PAR</v>
      </c>
      <c r="E98" t="s">
        <v>430</v>
      </c>
      <c r="F98" t="s">
        <v>754</v>
      </c>
      <c r="G98" t="s">
        <v>755</v>
      </c>
      <c r="H98" t="s">
        <v>689</v>
      </c>
      <c r="I98" t="s">
        <v>756</v>
      </c>
    </row>
    <row r="99" spans="1:9">
      <c r="A99" t="s">
        <v>969</v>
      </c>
      <c r="B99">
        <v>17</v>
      </c>
      <c r="C99" t="s">
        <v>970</v>
      </c>
      <c r="D99" t="str">
        <f t="shared" si="2"/>
        <v>TO-s17-PAR</v>
      </c>
      <c r="E99" t="s">
        <v>424</v>
      </c>
      <c r="F99" t="s">
        <v>757</v>
      </c>
      <c r="G99" t="s">
        <v>758</v>
      </c>
      <c r="H99" t="s">
        <v>291</v>
      </c>
      <c r="I99" t="s">
        <v>759</v>
      </c>
    </row>
    <row r="100" spans="1:9">
      <c r="A100" t="s">
        <v>969</v>
      </c>
      <c r="B100">
        <v>17</v>
      </c>
      <c r="C100" t="s">
        <v>970</v>
      </c>
      <c r="D100" t="str">
        <f t="shared" si="2"/>
        <v>TO-s17-PAR</v>
      </c>
      <c r="E100" t="s">
        <v>431</v>
      </c>
      <c r="F100" t="s">
        <v>760</v>
      </c>
      <c r="G100" t="s">
        <v>761</v>
      </c>
      <c r="H100" t="s">
        <v>762</v>
      </c>
      <c r="I100" t="s">
        <v>400</v>
      </c>
    </row>
    <row r="101" spans="1:9">
      <c r="A101" t="s">
        <v>969</v>
      </c>
      <c r="B101">
        <v>17</v>
      </c>
      <c r="C101" t="s">
        <v>970</v>
      </c>
      <c r="D101" t="str">
        <f t="shared" si="2"/>
        <v>TO-s17-PAR</v>
      </c>
      <c r="E101" t="s">
        <v>432</v>
      </c>
      <c r="F101" t="s">
        <v>763</v>
      </c>
      <c r="G101" t="s">
        <v>764</v>
      </c>
      <c r="H101" t="s">
        <v>474</v>
      </c>
      <c r="I101" t="s">
        <v>765</v>
      </c>
    </row>
    <row r="102" spans="1:9">
      <c r="A102" t="s">
        <v>969</v>
      </c>
      <c r="B102">
        <v>17</v>
      </c>
      <c r="C102" t="s">
        <v>970</v>
      </c>
      <c r="D102" t="str">
        <f t="shared" si="2"/>
        <v>TO-s17-PAR</v>
      </c>
      <c r="E102" t="s">
        <v>433</v>
      </c>
      <c r="F102" t="s">
        <v>766</v>
      </c>
      <c r="G102" t="s">
        <v>767</v>
      </c>
      <c r="H102" t="s">
        <v>768</v>
      </c>
      <c r="I102" t="s">
        <v>769</v>
      </c>
    </row>
    <row r="103" spans="1:9">
      <c r="A103" t="s">
        <v>969</v>
      </c>
      <c r="B103">
        <v>17</v>
      </c>
      <c r="C103" t="s">
        <v>970</v>
      </c>
      <c r="D103" t="str">
        <f t="shared" si="2"/>
        <v>TO-s17-PAR</v>
      </c>
      <c r="E103" t="s">
        <v>434</v>
      </c>
      <c r="F103" t="s">
        <v>770</v>
      </c>
      <c r="G103" t="s">
        <v>771</v>
      </c>
      <c r="H103" t="s">
        <v>772</v>
      </c>
      <c r="I103" t="s">
        <v>773</v>
      </c>
    </row>
    <row r="104" spans="1:9">
      <c r="A104" t="s">
        <v>969</v>
      </c>
      <c r="B104">
        <v>18</v>
      </c>
      <c r="C104" t="s">
        <v>970</v>
      </c>
      <c r="D104" t="str">
        <f>_xlfn.CONCAT("TO-s",B104,"-PAR")</f>
        <v>TO-s18-PAR</v>
      </c>
      <c r="E104" t="s">
        <v>430</v>
      </c>
      <c r="F104" t="s">
        <v>774</v>
      </c>
      <c r="G104" t="s">
        <v>775</v>
      </c>
      <c r="H104" t="s">
        <v>537</v>
      </c>
      <c r="I104" t="s">
        <v>401</v>
      </c>
    </row>
    <row r="105" spans="1:9">
      <c r="A105" t="s">
        <v>969</v>
      </c>
      <c r="B105">
        <v>18</v>
      </c>
      <c r="C105" t="s">
        <v>970</v>
      </c>
      <c r="D105" t="str">
        <f t="shared" si="2"/>
        <v>TO-s18-PAR</v>
      </c>
      <c r="E105" t="s">
        <v>424</v>
      </c>
      <c r="F105" t="s">
        <v>776</v>
      </c>
      <c r="G105" t="s">
        <v>777</v>
      </c>
      <c r="H105" t="s">
        <v>778</v>
      </c>
      <c r="I105" t="s">
        <v>779</v>
      </c>
    </row>
    <row r="106" spans="1:9">
      <c r="A106" t="s">
        <v>969</v>
      </c>
      <c r="B106">
        <v>18</v>
      </c>
      <c r="C106" t="s">
        <v>970</v>
      </c>
      <c r="D106" t="str">
        <f t="shared" si="2"/>
        <v>TO-s18-PAR</v>
      </c>
      <c r="E106" t="s">
        <v>431</v>
      </c>
      <c r="F106" t="s">
        <v>780</v>
      </c>
      <c r="G106" t="s">
        <v>781</v>
      </c>
      <c r="H106" t="s">
        <v>446</v>
      </c>
      <c r="I106" t="s">
        <v>419</v>
      </c>
    </row>
    <row r="107" spans="1:9">
      <c r="A107" t="s">
        <v>969</v>
      </c>
      <c r="B107">
        <v>18</v>
      </c>
      <c r="C107" t="s">
        <v>970</v>
      </c>
      <c r="D107" t="str">
        <f t="shared" si="2"/>
        <v>TO-s18-PAR</v>
      </c>
      <c r="E107" t="s">
        <v>432</v>
      </c>
      <c r="F107" t="s">
        <v>782</v>
      </c>
      <c r="G107" t="s">
        <v>783</v>
      </c>
      <c r="H107" t="s">
        <v>784</v>
      </c>
      <c r="I107" t="s">
        <v>785</v>
      </c>
    </row>
    <row r="108" spans="1:9">
      <c r="A108" t="s">
        <v>969</v>
      </c>
      <c r="B108">
        <v>18</v>
      </c>
      <c r="C108" t="s">
        <v>970</v>
      </c>
      <c r="D108" t="str">
        <f t="shared" si="2"/>
        <v>TO-s18-PAR</v>
      </c>
      <c r="E108" t="s">
        <v>433</v>
      </c>
      <c r="F108" t="s">
        <v>786</v>
      </c>
      <c r="G108" t="s">
        <v>787</v>
      </c>
      <c r="H108" t="s">
        <v>772</v>
      </c>
      <c r="I108" t="s">
        <v>788</v>
      </c>
    </row>
    <row r="109" spans="1:9">
      <c r="A109" t="s">
        <v>969</v>
      </c>
      <c r="B109">
        <v>18</v>
      </c>
      <c r="C109" t="s">
        <v>970</v>
      </c>
      <c r="D109" t="str">
        <f t="shared" si="2"/>
        <v>TO-s18-PAR</v>
      </c>
      <c r="E109" t="s">
        <v>434</v>
      </c>
      <c r="F109" t="s">
        <v>789</v>
      </c>
      <c r="G109" t="s">
        <v>790</v>
      </c>
      <c r="H109" t="s">
        <v>466</v>
      </c>
      <c r="I109" t="s">
        <v>791</v>
      </c>
    </row>
    <row r="110" spans="1:9">
      <c r="A110" t="s">
        <v>969</v>
      </c>
      <c r="B110">
        <v>19</v>
      </c>
      <c r="C110" t="s">
        <v>970</v>
      </c>
      <c r="D110" t="str">
        <f>_xlfn.CONCAT("TO-s",B110,"-PAR")</f>
        <v>TO-s19-PAR</v>
      </c>
      <c r="E110" t="s">
        <v>430</v>
      </c>
      <c r="F110" t="s">
        <v>792</v>
      </c>
      <c r="G110" t="s">
        <v>793</v>
      </c>
      <c r="H110" t="s">
        <v>794</v>
      </c>
      <c r="I110" t="s">
        <v>795</v>
      </c>
    </row>
    <row r="111" spans="1:9">
      <c r="A111" t="s">
        <v>969</v>
      </c>
      <c r="B111">
        <v>19</v>
      </c>
      <c r="C111" t="s">
        <v>970</v>
      </c>
      <c r="D111" t="str">
        <f t="shared" si="2"/>
        <v>TO-s19-PAR</v>
      </c>
      <c r="E111" t="s">
        <v>424</v>
      </c>
      <c r="F111" t="s">
        <v>796</v>
      </c>
      <c r="G111" t="s">
        <v>797</v>
      </c>
      <c r="H111" t="s">
        <v>798</v>
      </c>
      <c r="I111" t="s">
        <v>799</v>
      </c>
    </row>
    <row r="112" spans="1:9">
      <c r="A112" t="s">
        <v>969</v>
      </c>
      <c r="B112">
        <v>19</v>
      </c>
      <c r="C112" t="s">
        <v>970</v>
      </c>
      <c r="D112" t="str">
        <f t="shared" si="2"/>
        <v>TO-s19-PAR</v>
      </c>
      <c r="E112" t="s">
        <v>431</v>
      </c>
      <c r="F112" t="s">
        <v>800</v>
      </c>
      <c r="G112" t="s">
        <v>801</v>
      </c>
      <c r="H112" t="s">
        <v>470</v>
      </c>
      <c r="I112" t="s">
        <v>405</v>
      </c>
    </row>
    <row r="113" spans="1:9">
      <c r="A113" t="s">
        <v>969</v>
      </c>
      <c r="B113">
        <v>19</v>
      </c>
      <c r="C113" t="s">
        <v>970</v>
      </c>
      <c r="D113" t="str">
        <f t="shared" si="2"/>
        <v>TO-s19-PAR</v>
      </c>
      <c r="E113" t="s">
        <v>432</v>
      </c>
      <c r="F113" t="s">
        <v>802</v>
      </c>
      <c r="G113" t="s">
        <v>803</v>
      </c>
      <c r="H113" t="s">
        <v>804</v>
      </c>
      <c r="I113" t="s">
        <v>805</v>
      </c>
    </row>
    <row r="114" spans="1:9">
      <c r="A114" t="s">
        <v>969</v>
      </c>
      <c r="B114">
        <v>19</v>
      </c>
      <c r="C114" t="s">
        <v>970</v>
      </c>
      <c r="D114" t="str">
        <f t="shared" si="2"/>
        <v>TO-s19-PAR</v>
      </c>
      <c r="E114" t="s">
        <v>433</v>
      </c>
      <c r="F114" t="s">
        <v>806</v>
      </c>
      <c r="G114" t="s">
        <v>807</v>
      </c>
      <c r="H114" t="s">
        <v>427</v>
      </c>
      <c r="I114" t="s">
        <v>808</v>
      </c>
    </row>
    <row r="115" spans="1:9">
      <c r="A115" t="s">
        <v>969</v>
      </c>
      <c r="B115">
        <v>19</v>
      </c>
      <c r="C115" t="s">
        <v>970</v>
      </c>
      <c r="D115" t="str">
        <f t="shared" ref="D115" si="3">_xlfn.CONCAT("TO-s",B115,"-PAR")</f>
        <v>TO-s19-PAR</v>
      </c>
      <c r="E115" t="s">
        <v>434</v>
      </c>
      <c r="F115" t="s">
        <v>809</v>
      </c>
      <c r="G115" t="s">
        <v>783</v>
      </c>
      <c r="H115" t="s">
        <v>481</v>
      </c>
      <c r="I115" t="s">
        <v>810</v>
      </c>
    </row>
    <row r="116" spans="1:9">
      <c r="A116" t="s">
        <v>969</v>
      </c>
      <c r="B116">
        <v>20</v>
      </c>
      <c r="C116" t="s">
        <v>970</v>
      </c>
      <c r="D116" t="str">
        <f>_xlfn.CONCAT("TO-s",B116,"-PAR")</f>
        <v>TO-s20-PAR</v>
      </c>
      <c r="E116" t="s">
        <v>430</v>
      </c>
      <c r="F116" t="s">
        <v>811</v>
      </c>
      <c r="G116" t="s">
        <v>755</v>
      </c>
      <c r="H116" t="s">
        <v>618</v>
      </c>
      <c r="I116" t="s">
        <v>812</v>
      </c>
    </row>
    <row r="117" spans="1:9">
      <c r="A117" t="s">
        <v>969</v>
      </c>
      <c r="B117">
        <v>20</v>
      </c>
      <c r="C117" t="s">
        <v>970</v>
      </c>
      <c r="D117" t="str">
        <f t="shared" ref="D117:D120" si="4">_xlfn.CONCAT("TO-s",B117,"-PAR")</f>
        <v>TO-s20-PAR</v>
      </c>
      <c r="E117" t="s">
        <v>424</v>
      </c>
      <c r="F117" t="s">
        <v>813</v>
      </c>
      <c r="G117" t="s">
        <v>814</v>
      </c>
      <c r="H117" t="s">
        <v>580</v>
      </c>
      <c r="I117" t="s">
        <v>815</v>
      </c>
    </row>
    <row r="118" spans="1:9">
      <c r="A118" t="s">
        <v>969</v>
      </c>
      <c r="B118">
        <v>20</v>
      </c>
      <c r="C118" t="s">
        <v>970</v>
      </c>
      <c r="D118" t="str">
        <f t="shared" si="4"/>
        <v>TO-s20-PAR</v>
      </c>
      <c r="E118" t="s">
        <v>431</v>
      </c>
      <c r="F118" t="s">
        <v>816</v>
      </c>
      <c r="G118" t="s">
        <v>111</v>
      </c>
      <c r="H118" t="s">
        <v>455</v>
      </c>
      <c r="I118" t="s">
        <v>407</v>
      </c>
    </row>
    <row r="119" spans="1:9">
      <c r="A119" t="s">
        <v>969</v>
      </c>
      <c r="B119">
        <v>20</v>
      </c>
      <c r="C119" t="s">
        <v>970</v>
      </c>
      <c r="D119" t="str">
        <f t="shared" si="4"/>
        <v>TO-s20-PAR</v>
      </c>
      <c r="E119" t="s">
        <v>432</v>
      </c>
      <c r="F119" t="s">
        <v>817</v>
      </c>
      <c r="G119" t="s">
        <v>783</v>
      </c>
      <c r="H119" t="s">
        <v>681</v>
      </c>
      <c r="I119" t="s">
        <v>410</v>
      </c>
    </row>
    <row r="120" spans="1:9">
      <c r="A120" t="s">
        <v>969</v>
      </c>
      <c r="B120">
        <v>20</v>
      </c>
      <c r="C120" t="s">
        <v>970</v>
      </c>
      <c r="D120" t="str">
        <f t="shared" si="4"/>
        <v>TO-s20-PAR</v>
      </c>
      <c r="E120" t="s">
        <v>433</v>
      </c>
      <c r="F120" t="s">
        <v>818</v>
      </c>
      <c r="G120" t="s">
        <v>819</v>
      </c>
      <c r="H120" t="s">
        <v>823</v>
      </c>
      <c r="I120" t="s">
        <v>413</v>
      </c>
    </row>
    <row r="121" spans="1:9">
      <c r="A121" t="s">
        <v>969</v>
      </c>
      <c r="B121">
        <v>20</v>
      </c>
      <c r="C121" t="s">
        <v>970</v>
      </c>
      <c r="D121" t="str">
        <f t="shared" ref="D121:D390" si="5">_xlfn.CONCAT(A121,"-s",B121,"-",C121)</f>
        <v>TO-s20-PAR</v>
      </c>
      <c r="E121" t="s">
        <v>434</v>
      </c>
      <c r="F121" t="s">
        <v>820</v>
      </c>
      <c r="G121" t="s">
        <v>821</v>
      </c>
      <c r="H121" t="s">
        <v>822</v>
      </c>
      <c r="I121" t="s">
        <v>414</v>
      </c>
    </row>
    <row r="122" spans="1:9">
      <c r="A122" t="s">
        <v>969</v>
      </c>
      <c r="B122">
        <v>21</v>
      </c>
      <c r="C122" t="s">
        <v>970</v>
      </c>
      <c r="D122" t="str">
        <f t="shared" si="5"/>
        <v>TO-s21-PAR</v>
      </c>
      <c r="E122" t="s">
        <v>430</v>
      </c>
      <c r="F122" t="s">
        <v>971</v>
      </c>
      <c r="G122" t="s">
        <v>972</v>
      </c>
      <c r="H122" t="s">
        <v>438</v>
      </c>
      <c r="I122" t="s">
        <v>829</v>
      </c>
    </row>
    <row r="123" spans="1:9">
      <c r="A123" t="s">
        <v>969</v>
      </c>
      <c r="B123">
        <v>21</v>
      </c>
      <c r="C123" t="s">
        <v>970</v>
      </c>
      <c r="D123" t="str">
        <f t="shared" si="5"/>
        <v>TO-s21-PAR</v>
      </c>
      <c r="E123" t="s">
        <v>424</v>
      </c>
      <c r="F123" t="s">
        <v>973</v>
      </c>
      <c r="G123" t="s">
        <v>974</v>
      </c>
      <c r="H123" t="s">
        <v>455</v>
      </c>
      <c r="I123" t="s">
        <v>832</v>
      </c>
    </row>
    <row r="124" spans="1:9">
      <c r="A124" t="s">
        <v>969</v>
      </c>
      <c r="B124">
        <v>21</v>
      </c>
      <c r="C124" t="s">
        <v>970</v>
      </c>
      <c r="D124" t="str">
        <f t="shared" si="5"/>
        <v>TO-s21-PAR</v>
      </c>
      <c r="E124" t="s">
        <v>431</v>
      </c>
      <c r="F124" t="s">
        <v>975</v>
      </c>
      <c r="G124" t="s">
        <v>976</v>
      </c>
      <c r="H124" t="s">
        <v>835</v>
      </c>
      <c r="I124" t="s">
        <v>836</v>
      </c>
    </row>
    <row r="125" spans="1:9">
      <c r="A125" t="s">
        <v>969</v>
      </c>
      <c r="B125">
        <v>21</v>
      </c>
      <c r="C125" t="s">
        <v>970</v>
      </c>
      <c r="D125" t="str">
        <f t="shared" si="5"/>
        <v>TO-s21-PAR</v>
      </c>
      <c r="E125" t="s">
        <v>432</v>
      </c>
      <c r="F125" t="s">
        <v>977</v>
      </c>
      <c r="G125" t="s">
        <v>978</v>
      </c>
      <c r="H125" t="s">
        <v>839</v>
      </c>
      <c r="I125" t="s">
        <v>840</v>
      </c>
    </row>
    <row r="126" spans="1:9">
      <c r="A126" t="s">
        <v>969</v>
      </c>
      <c r="B126">
        <v>21</v>
      </c>
      <c r="C126" t="s">
        <v>970</v>
      </c>
      <c r="D126" t="str">
        <f t="shared" si="5"/>
        <v>TO-s21-PAR</v>
      </c>
      <c r="E126" t="s">
        <v>433</v>
      </c>
      <c r="F126" t="s">
        <v>981</v>
      </c>
      <c r="G126" t="s">
        <v>979</v>
      </c>
      <c r="H126" t="s">
        <v>842</v>
      </c>
      <c r="I126" t="s">
        <v>415</v>
      </c>
    </row>
    <row r="127" spans="1:9">
      <c r="A127" t="s">
        <v>969</v>
      </c>
      <c r="B127">
        <v>21</v>
      </c>
      <c r="C127" t="s">
        <v>970</v>
      </c>
      <c r="D127" t="str">
        <f t="shared" si="5"/>
        <v>TO-s21-PAR</v>
      </c>
      <c r="E127" t="s">
        <v>434</v>
      </c>
      <c r="F127" t="s">
        <v>980</v>
      </c>
      <c r="G127" t="s">
        <v>982</v>
      </c>
      <c r="H127" t="s">
        <v>133</v>
      </c>
      <c r="I127" t="s">
        <v>416</v>
      </c>
    </row>
    <row r="128" spans="1:9">
      <c r="A128" t="s">
        <v>969</v>
      </c>
      <c r="B128">
        <v>22</v>
      </c>
      <c r="C128" t="s">
        <v>970</v>
      </c>
      <c r="D128" t="str">
        <f t="shared" si="5"/>
        <v>TO-s22-PAR</v>
      </c>
      <c r="E128" t="s">
        <v>430</v>
      </c>
      <c r="F128" t="s">
        <v>983</v>
      </c>
      <c r="G128" t="s">
        <v>984</v>
      </c>
      <c r="H128" t="s">
        <v>22</v>
      </c>
      <c r="I128" t="s">
        <v>848</v>
      </c>
    </row>
    <row r="129" spans="1:9">
      <c r="A129" t="s">
        <v>969</v>
      </c>
      <c r="B129">
        <v>22</v>
      </c>
      <c r="C129" t="s">
        <v>970</v>
      </c>
      <c r="D129" t="str">
        <f t="shared" si="5"/>
        <v>TO-s22-PAR</v>
      </c>
      <c r="E129" t="s">
        <v>424</v>
      </c>
      <c r="F129" t="s">
        <v>985</v>
      </c>
      <c r="G129" t="s">
        <v>986</v>
      </c>
      <c r="H129" t="s">
        <v>987</v>
      </c>
      <c r="I129" t="s">
        <v>852</v>
      </c>
    </row>
    <row r="130" spans="1:9">
      <c r="A130" t="s">
        <v>969</v>
      </c>
      <c r="B130">
        <v>22</v>
      </c>
      <c r="C130" t="s">
        <v>970</v>
      </c>
      <c r="D130" t="str">
        <f t="shared" si="5"/>
        <v>TO-s22-PAR</v>
      </c>
      <c r="E130" t="s">
        <v>431</v>
      </c>
      <c r="F130" t="s">
        <v>988</v>
      </c>
      <c r="G130" t="s">
        <v>989</v>
      </c>
      <c r="H130" t="s">
        <v>22</v>
      </c>
      <c r="I130" t="s">
        <v>855</v>
      </c>
    </row>
    <row r="131" spans="1:9">
      <c r="A131" t="s">
        <v>969</v>
      </c>
      <c r="B131">
        <v>22</v>
      </c>
      <c r="C131" t="s">
        <v>970</v>
      </c>
      <c r="D131" t="str">
        <f t="shared" si="5"/>
        <v>TO-s22-PAR</v>
      </c>
      <c r="E131" t="s">
        <v>432</v>
      </c>
      <c r="F131" t="s">
        <v>990</v>
      </c>
      <c r="G131" t="s">
        <v>26</v>
      </c>
      <c r="H131" t="s">
        <v>858</v>
      </c>
      <c r="I131" t="s">
        <v>859</v>
      </c>
    </row>
    <row r="132" spans="1:9">
      <c r="A132" t="s">
        <v>969</v>
      </c>
      <c r="B132">
        <v>22</v>
      </c>
      <c r="C132" t="s">
        <v>970</v>
      </c>
      <c r="D132" t="str">
        <f t="shared" si="5"/>
        <v>TO-s22-PAR</v>
      </c>
      <c r="E132" t="s">
        <v>433</v>
      </c>
      <c r="F132" t="s">
        <v>991</v>
      </c>
      <c r="G132" t="s">
        <v>992</v>
      </c>
      <c r="H132" t="s">
        <v>861</v>
      </c>
      <c r="I132" t="s">
        <v>862</v>
      </c>
    </row>
    <row r="133" spans="1:9">
      <c r="A133" t="s">
        <v>969</v>
      </c>
      <c r="B133">
        <v>22</v>
      </c>
      <c r="C133" t="s">
        <v>970</v>
      </c>
      <c r="D133" t="str">
        <f t="shared" si="5"/>
        <v>TO-s22-PAR</v>
      </c>
      <c r="E133" t="s">
        <v>434</v>
      </c>
      <c r="F133" t="s">
        <v>993</v>
      </c>
      <c r="G133" t="s">
        <v>994</v>
      </c>
      <c r="H133" t="s">
        <v>169</v>
      </c>
      <c r="I133" t="s">
        <v>865</v>
      </c>
    </row>
    <row r="134" spans="1:9">
      <c r="A134" t="s">
        <v>969</v>
      </c>
      <c r="B134">
        <v>23</v>
      </c>
      <c r="C134" t="s">
        <v>970</v>
      </c>
      <c r="D134" t="str">
        <f t="shared" si="5"/>
        <v>TO-s23-PAR</v>
      </c>
      <c r="E134" t="s">
        <v>430</v>
      </c>
      <c r="F134" t="s">
        <v>995</v>
      </c>
      <c r="G134" t="s">
        <v>996</v>
      </c>
      <c r="H134" t="s">
        <v>438</v>
      </c>
      <c r="I134" t="s">
        <v>868</v>
      </c>
    </row>
    <row r="135" spans="1:9">
      <c r="A135" t="s">
        <v>969</v>
      </c>
      <c r="B135">
        <v>23</v>
      </c>
      <c r="C135" t="s">
        <v>970</v>
      </c>
      <c r="D135" t="str">
        <f t="shared" si="5"/>
        <v>TO-s23-PAR</v>
      </c>
      <c r="E135" t="s">
        <v>424</v>
      </c>
      <c r="F135" t="s">
        <v>997</v>
      </c>
      <c r="G135" t="s">
        <v>827</v>
      </c>
      <c r="H135" t="s">
        <v>594</v>
      </c>
      <c r="I135" t="s">
        <v>871</v>
      </c>
    </row>
    <row r="136" spans="1:9">
      <c r="A136" t="s">
        <v>969</v>
      </c>
      <c r="B136">
        <v>23</v>
      </c>
      <c r="C136" t="s">
        <v>970</v>
      </c>
      <c r="D136" t="str">
        <f t="shared" si="5"/>
        <v>TO-s23-PAR</v>
      </c>
      <c r="E136" t="s">
        <v>431</v>
      </c>
      <c r="F136" t="s">
        <v>998</v>
      </c>
      <c r="G136" t="s">
        <v>999</v>
      </c>
      <c r="H136" t="s">
        <v>874</v>
      </c>
      <c r="I136" t="s">
        <v>876</v>
      </c>
    </row>
    <row r="137" spans="1:9">
      <c r="A137" t="s">
        <v>969</v>
      </c>
      <c r="B137">
        <v>23</v>
      </c>
      <c r="C137" t="s">
        <v>970</v>
      </c>
      <c r="D137" t="str">
        <f t="shared" si="5"/>
        <v>TO-s23-PAR</v>
      </c>
      <c r="E137" t="s">
        <v>432</v>
      </c>
      <c r="F137" t="s">
        <v>1000</v>
      </c>
      <c r="G137" t="s">
        <v>1001</v>
      </c>
      <c r="H137" t="s">
        <v>879</v>
      </c>
      <c r="I137" t="s">
        <v>880</v>
      </c>
    </row>
    <row r="138" spans="1:9">
      <c r="A138" t="s">
        <v>969</v>
      </c>
      <c r="B138">
        <v>23</v>
      </c>
      <c r="C138" t="s">
        <v>970</v>
      </c>
      <c r="D138" t="str">
        <f t="shared" si="5"/>
        <v>TO-s23-PAR</v>
      </c>
      <c r="E138" t="s">
        <v>433</v>
      </c>
      <c r="F138" t="s">
        <v>1002</v>
      </c>
      <c r="G138" t="s">
        <v>1003</v>
      </c>
      <c r="H138" t="s">
        <v>883</v>
      </c>
      <c r="I138" t="s">
        <v>884</v>
      </c>
    </row>
    <row r="139" spans="1:9">
      <c r="A139" t="s">
        <v>969</v>
      </c>
      <c r="B139">
        <v>23</v>
      </c>
      <c r="C139" t="s">
        <v>970</v>
      </c>
      <c r="D139" t="str">
        <f t="shared" si="5"/>
        <v>TO-s23-PAR</v>
      </c>
      <c r="E139" t="s">
        <v>434</v>
      </c>
      <c r="F139" t="s">
        <v>1004</v>
      </c>
      <c r="G139" t="s">
        <v>1005</v>
      </c>
      <c r="H139" t="s">
        <v>175</v>
      </c>
      <c r="I139" t="s">
        <v>887</v>
      </c>
    </row>
    <row r="140" spans="1:9">
      <c r="A140" t="s">
        <v>969</v>
      </c>
      <c r="B140">
        <v>24</v>
      </c>
      <c r="C140" t="s">
        <v>970</v>
      </c>
      <c r="D140" t="str">
        <f t="shared" si="5"/>
        <v>TO-s24-PAR</v>
      </c>
      <c r="E140" t="s">
        <v>430</v>
      </c>
      <c r="F140" t="s">
        <v>1006</v>
      </c>
      <c r="G140" t="s">
        <v>1007</v>
      </c>
      <c r="H140" t="s">
        <v>495</v>
      </c>
      <c r="I140" t="s">
        <v>890</v>
      </c>
    </row>
    <row r="141" spans="1:9">
      <c r="A141" t="s">
        <v>969</v>
      </c>
      <c r="B141">
        <v>24</v>
      </c>
      <c r="C141" t="s">
        <v>970</v>
      </c>
      <c r="D141" t="str">
        <f t="shared" si="5"/>
        <v>TO-s24-PAR</v>
      </c>
      <c r="E141" t="s">
        <v>424</v>
      </c>
      <c r="F141" t="s">
        <v>1008</v>
      </c>
      <c r="G141" t="s">
        <v>589</v>
      </c>
      <c r="H141" t="s">
        <v>446</v>
      </c>
      <c r="I141" t="s">
        <v>893</v>
      </c>
    </row>
    <row r="142" spans="1:9">
      <c r="A142" t="s">
        <v>969</v>
      </c>
      <c r="B142">
        <v>24</v>
      </c>
      <c r="C142" t="s">
        <v>970</v>
      </c>
      <c r="D142" t="str">
        <f t="shared" si="5"/>
        <v>TO-s24-PAR</v>
      </c>
      <c r="E142" t="s">
        <v>431</v>
      </c>
      <c r="F142" t="s">
        <v>1009</v>
      </c>
      <c r="G142" t="s">
        <v>1010</v>
      </c>
      <c r="H142" t="s">
        <v>550</v>
      </c>
      <c r="I142" t="s">
        <v>897</v>
      </c>
    </row>
    <row r="143" spans="1:9">
      <c r="A143" t="s">
        <v>969</v>
      </c>
      <c r="B143">
        <v>24</v>
      </c>
      <c r="C143" t="s">
        <v>970</v>
      </c>
      <c r="D143" t="str">
        <f t="shared" si="5"/>
        <v>TO-s24-PAR</v>
      </c>
      <c r="E143" t="s">
        <v>432</v>
      </c>
      <c r="F143" t="s">
        <v>1011</v>
      </c>
      <c r="G143" t="s">
        <v>1012</v>
      </c>
      <c r="H143" t="s">
        <v>696</v>
      </c>
      <c r="I143" t="s">
        <v>900</v>
      </c>
    </row>
    <row r="144" spans="1:9">
      <c r="A144" t="s">
        <v>969</v>
      </c>
      <c r="B144">
        <v>24</v>
      </c>
      <c r="C144" t="s">
        <v>970</v>
      </c>
      <c r="D144" t="str">
        <f t="shared" si="5"/>
        <v>TO-s24-PAR</v>
      </c>
      <c r="E144" t="s">
        <v>433</v>
      </c>
      <c r="F144" t="s">
        <v>1013</v>
      </c>
      <c r="G144" t="s">
        <v>1014</v>
      </c>
      <c r="H144" t="s">
        <v>481</v>
      </c>
      <c r="I144" t="s">
        <v>903</v>
      </c>
    </row>
    <row r="145" spans="1:9">
      <c r="A145" t="s">
        <v>969</v>
      </c>
      <c r="B145">
        <v>24</v>
      </c>
      <c r="C145" t="s">
        <v>970</v>
      </c>
      <c r="D145" t="str">
        <f t="shared" si="5"/>
        <v>TO-s24-PAR</v>
      </c>
      <c r="E145" t="s">
        <v>434</v>
      </c>
      <c r="F145" t="s">
        <v>1015</v>
      </c>
      <c r="G145" t="s">
        <v>1016</v>
      </c>
      <c r="H145" t="s">
        <v>512</v>
      </c>
      <c r="I145" t="s">
        <v>905</v>
      </c>
    </row>
    <row r="146" spans="1:9">
      <c r="A146" t="s">
        <v>969</v>
      </c>
      <c r="B146">
        <v>25</v>
      </c>
      <c r="C146" t="s">
        <v>970</v>
      </c>
      <c r="D146" t="str">
        <f t="shared" si="5"/>
        <v>TO-s25-PAR</v>
      </c>
      <c r="E146" t="s">
        <v>430</v>
      </c>
      <c r="F146" t="s">
        <v>1017</v>
      </c>
      <c r="G146" t="s">
        <v>1018</v>
      </c>
      <c r="H146" t="s">
        <v>626</v>
      </c>
      <c r="I146" t="s">
        <v>909</v>
      </c>
    </row>
    <row r="147" spans="1:9">
      <c r="A147" t="s">
        <v>969</v>
      </c>
      <c r="B147">
        <v>25</v>
      </c>
      <c r="C147" t="s">
        <v>970</v>
      </c>
      <c r="D147" t="str">
        <f t="shared" si="5"/>
        <v>TO-s25-PAR</v>
      </c>
      <c r="E147" t="s">
        <v>424</v>
      </c>
      <c r="F147" t="s">
        <v>1019</v>
      </c>
      <c r="G147" t="s">
        <v>1020</v>
      </c>
      <c r="H147" t="s">
        <v>950</v>
      </c>
      <c r="I147" t="s">
        <v>913</v>
      </c>
    </row>
    <row r="148" spans="1:9">
      <c r="A148" t="s">
        <v>969</v>
      </c>
      <c r="B148">
        <v>25</v>
      </c>
      <c r="C148" t="s">
        <v>970</v>
      </c>
      <c r="D148" t="str">
        <f t="shared" si="5"/>
        <v>TO-s25-PAR</v>
      </c>
      <c r="E148" t="s">
        <v>431</v>
      </c>
      <c r="F148" t="s">
        <v>1021</v>
      </c>
      <c r="G148" t="s">
        <v>1022</v>
      </c>
      <c r="H148" t="s">
        <v>422</v>
      </c>
      <c r="I148" t="s">
        <v>916</v>
      </c>
    </row>
    <row r="149" spans="1:9">
      <c r="A149" t="s">
        <v>969</v>
      </c>
      <c r="B149">
        <v>25</v>
      </c>
      <c r="C149" t="s">
        <v>970</v>
      </c>
      <c r="D149" t="str">
        <f t="shared" si="5"/>
        <v>TO-s25-PAR</v>
      </c>
      <c r="E149" t="s">
        <v>432</v>
      </c>
      <c r="F149" t="s">
        <v>1023</v>
      </c>
      <c r="G149" t="s">
        <v>1024</v>
      </c>
      <c r="H149" t="s">
        <v>169</v>
      </c>
      <c r="I149" t="s">
        <v>919</v>
      </c>
    </row>
    <row r="150" spans="1:9">
      <c r="A150" t="s">
        <v>969</v>
      </c>
      <c r="B150">
        <v>25</v>
      </c>
      <c r="C150" t="s">
        <v>970</v>
      </c>
      <c r="D150" t="str">
        <f t="shared" si="5"/>
        <v>TO-s25-PAR</v>
      </c>
      <c r="E150" t="s">
        <v>433</v>
      </c>
      <c r="F150" t="s">
        <v>1025</v>
      </c>
      <c r="G150" t="s">
        <v>1026</v>
      </c>
      <c r="H150" t="s">
        <v>586</v>
      </c>
      <c r="I150" t="s">
        <v>922</v>
      </c>
    </row>
    <row r="151" spans="1:9">
      <c r="A151" t="s">
        <v>969</v>
      </c>
      <c r="B151">
        <v>25</v>
      </c>
      <c r="C151" t="s">
        <v>970</v>
      </c>
      <c r="D151" t="str">
        <f t="shared" si="5"/>
        <v>TO-s25-PAR</v>
      </c>
      <c r="E151" t="s">
        <v>434</v>
      </c>
      <c r="F151" t="s">
        <v>1027</v>
      </c>
      <c r="G151" t="s">
        <v>1024</v>
      </c>
      <c r="H151" t="s">
        <v>466</v>
      </c>
      <c r="I151" t="s">
        <v>925</v>
      </c>
    </row>
    <row r="152" spans="1:9">
      <c r="A152" t="s">
        <v>969</v>
      </c>
      <c r="B152">
        <v>26</v>
      </c>
      <c r="C152" t="s">
        <v>970</v>
      </c>
      <c r="D152" t="str">
        <f t="shared" si="5"/>
        <v>TO-s26-PAR</v>
      </c>
      <c r="E152" t="s">
        <v>430</v>
      </c>
      <c r="F152" t="s">
        <v>1028</v>
      </c>
      <c r="G152" t="s">
        <v>1029</v>
      </c>
      <c r="H152" t="s">
        <v>586</v>
      </c>
      <c r="I152" t="s">
        <v>929</v>
      </c>
    </row>
    <row r="153" spans="1:9">
      <c r="A153" t="s">
        <v>969</v>
      </c>
      <c r="B153">
        <v>26</v>
      </c>
      <c r="C153" t="s">
        <v>970</v>
      </c>
      <c r="D153" t="str">
        <f t="shared" si="5"/>
        <v>TO-s26-PAR</v>
      </c>
      <c r="E153" t="s">
        <v>424</v>
      </c>
      <c r="F153" t="s">
        <v>1030</v>
      </c>
      <c r="G153" t="s">
        <v>1031</v>
      </c>
      <c r="H153" t="s">
        <v>586</v>
      </c>
      <c r="I153" t="s">
        <v>932</v>
      </c>
    </row>
    <row r="154" spans="1:9">
      <c r="A154" t="s">
        <v>969</v>
      </c>
      <c r="B154">
        <v>26</v>
      </c>
      <c r="C154" t="s">
        <v>970</v>
      </c>
      <c r="D154" t="str">
        <f t="shared" si="5"/>
        <v>TO-s26-PAR</v>
      </c>
      <c r="E154" t="s">
        <v>431</v>
      </c>
      <c r="F154" t="s">
        <v>1032</v>
      </c>
      <c r="G154" t="s">
        <v>1033</v>
      </c>
      <c r="H154" t="s">
        <v>934</v>
      </c>
      <c r="I154" t="s">
        <v>935</v>
      </c>
    </row>
    <row r="155" spans="1:9">
      <c r="A155" t="s">
        <v>969</v>
      </c>
      <c r="B155">
        <v>26</v>
      </c>
      <c r="C155" t="s">
        <v>970</v>
      </c>
      <c r="D155" t="str">
        <f t="shared" si="5"/>
        <v>TO-s26-PAR</v>
      </c>
      <c r="E155" t="s">
        <v>432</v>
      </c>
      <c r="F155" t="s">
        <v>1034</v>
      </c>
      <c r="G155" t="s">
        <v>1035</v>
      </c>
      <c r="H155" t="s">
        <v>422</v>
      </c>
      <c r="I155" t="s">
        <v>937</v>
      </c>
    </row>
    <row r="156" spans="1:9">
      <c r="A156" t="s">
        <v>969</v>
      </c>
      <c r="B156">
        <v>26</v>
      </c>
      <c r="C156" t="s">
        <v>970</v>
      </c>
      <c r="D156" t="str">
        <f t="shared" si="5"/>
        <v>TO-s26-PAR</v>
      </c>
      <c r="E156" t="s">
        <v>433</v>
      </c>
      <c r="F156" t="s">
        <v>1036</v>
      </c>
      <c r="G156" t="s">
        <v>1037</v>
      </c>
      <c r="H156" t="s">
        <v>939</v>
      </c>
      <c r="I156" t="s">
        <v>940</v>
      </c>
    </row>
    <row r="157" spans="1:9">
      <c r="A157" t="s">
        <v>969</v>
      </c>
      <c r="B157">
        <v>26</v>
      </c>
      <c r="C157" t="s">
        <v>970</v>
      </c>
      <c r="D157" t="str">
        <f t="shared" si="5"/>
        <v>TO-s26-PAR</v>
      </c>
      <c r="E157" t="s">
        <v>434</v>
      </c>
      <c r="F157" t="s">
        <v>1038</v>
      </c>
      <c r="G157" t="s">
        <v>1039</v>
      </c>
      <c r="H157" t="s">
        <v>481</v>
      </c>
      <c r="I157" t="s">
        <v>943</v>
      </c>
    </row>
    <row r="158" spans="1:9">
      <c r="A158" t="s">
        <v>969</v>
      </c>
      <c r="B158">
        <v>27</v>
      </c>
      <c r="C158" t="s">
        <v>970</v>
      </c>
      <c r="D158" t="str">
        <f t="shared" si="5"/>
        <v>TO-s27-PAR</v>
      </c>
      <c r="E158" t="s">
        <v>430</v>
      </c>
      <c r="F158" t="s">
        <v>1040</v>
      </c>
      <c r="G158" t="s">
        <v>1041</v>
      </c>
      <c r="H158" t="s">
        <v>946</v>
      </c>
      <c r="I158" t="s">
        <v>947</v>
      </c>
    </row>
    <row r="159" spans="1:9">
      <c r="A159" t="s">
        <v>969</v>
      </c>
      <c r="B159">
        <v>27</v>
      </c>
      <c r="C159" t="s">
        <v>970</v>
      </c>
      <c r="D159" t="str">
        <f t="shared" si="5"/>
        <v>TO-s27-PAR</v>
      </c>
      <c r="E159" t="s">
        <v>424</v>
      </c>
      <c r="F159" t="s">
        <v>1042</v>
      </c>
      <c r="G159" t="s">
        <v>1043</v>
      </c>
      <c r="H159" t="s">
        <v>950</v>
      </c>
      <c r="I159" t="s">
        <v>951</v>
      </c>
    </row>
    <row r="160" spans="1:9">
      <c r="A160" t="s">
        <v>969</v>
      </c>
      <c r="B160">
        <v>27</v>
      </c>
      <c r="C160" t="s">
        <v>970</v>
      </c>
      <c r="D160" t="str">
        <f t="shared" si="5"/>
        <v>TO-s27-PAR</v>
      </c>
      <c r="E160" t="s">
        <v>431</v>
      </c>
      <c r="F160" t="s">
        <v>1044</v>
      </c>
      <c r="G160" t="s">
        <v>1045</v>
      </c>
      <c r="H160" t="s">
        <v>954</v>
      </c>
      <c r="I160" t="s">
        <v>955</v>
      </c>
    </row>
    <row r="161" spans="1:9">
      <c r="A161" t="s">
        <v>969</v>
      </c>
      <c r="B161">
        <v>27</v>
      </c>
      <c r="C161" t="s">
        <v>970</v>
      </c>
      <c r="D161" t="str">
        <f t="shared" si="5"/>
        <v>TO-s27-PAR</v>
      </c>
      <c r="E161" t="s">
        <v>432</v>
      </c>
      <c r="F161" t="s">
        <v>1046</v>
      </c>
      <c r="G161" t="s">
        <v>1047</v>
      </c>
      <c r="H161" t="s">
        <v>958</v>
      </c>
      <c r="I161" t="s">
        <v>959</v>
      </c>
    </row>
    <row r="162" spans="1:9">
      <c r="A162" t="s">
        <v>969</v>
      </c>
      <c r="B162">
        <v>27</v>
      </c>
      <c r="C162" t="s">
        <v>970</v>
      </c>
      <c r="D162" t="str">
        <f t="shared" si="5"/>
        <v>TO-s27-PAR</v>
      </c>
      <c r="E162" t="s">
        <v>433</v>
      </c>
      <c r="F162" t="s">
        <v>1048</v>
      </c>
      <c r="G162" t="s">
        <v>895</v>
      </c>
      <c r="H162" t="s">
        <v>962</v>
      </c>
      <c r="I162" t="s">
        <v>964</v>
      </c>
    </row>
    <row r="163" spans="1:9">
      <c r="A163" t="s">
        <v>969</v>
      </c>
      <c r="B163">
        <v>27</v>
      </c>
      <c r="C163" t="s">
        <v>970</v>
      </c>
      <c r="D163" t="str">
        <f t="shared" si="5"/>
        <v>TO-s27-PAR</v>
      </c>
      <c r="E163" t="s">
        <v>434</v>
      </c>
      <c r="F163" t="s">
        <v>1049</v>
      </c>
      <c r="G163" t="s">
        <v>707</v>
      </c>
      <c r="H163" t="s">
        <v>950</v>
      </c>
      <c r="I163" t="s">
        <v>967</v>
      </c>
    </row>
    <row r="164" spans="1:9">
      <c r="A164" t="s">
        <v>969</v>
      </c>
      <c r="B164">
        <v>28</v>
      </c>
      <c r="C164" t="s">
        <v>970</v>
      </c>
      <c r="D164" t="str">
        <f t="shared" si="5"/>
        <v>TO-s28-PAR</v>
      </c>
      <c r="E164" t="s">
        <v>430</v>
      </c>
      <c r="F164" t="s">
        <v>1050</v>
      </c>
      <c r="G164" t="s">
        <v>1051</v>
      </c>
      <c r="H164" t="s">
        <v>939</v>
      </c>
      <c r="I164" t="s">
        <v>1052</v>
      </c>
    </row>
    <row r="165" spans="1:9">
      <c r="A165" t="s">
        <v>969</v>
      </c>
      <c r="B165">
        <v>28</v>
      </c>
      <c r="C165" t="s">
        <v>970</v>
      </c>
      <c r="D165" t="str">
        <f t="shared" si="5"/>
        <v>TO-s28-PAR</v>
      </c>
      <c r="E165" t="s">
        <v>424</v>
      </c>
      <c r="F165" t="s">
        <v>1053</v>
      </c>
      <c r="G165" t="s">
        <v>1054</v>
      </c>
      <c r="H165" t="s">
        <v>455</v>
      </c>
      <c r="I165" t="s">
        <v>1055</v>
      </c>
    </row>
    <row r="166" spans="1:9">
      <c r="A166" t="s">
        <v>969</v>
      </c>
      <c r="B166">
        <v>28</v>
      </c>
      <c r="C166" t="s">
        <v>970</v>
      </c>
      <c r="D166" t="str">
        <f t="shared" si="5"/>
        <v>TO-s28-PAR</v>
      </c>
      <c r="E166" t="s">
        <v>431</v>
      </c>
      <c r="F166" t="s">
        <v>1056</v>
      </c>
      <c r="G166" t="s">
        <v>1057</v>
      </c>
      <c r="H166" t="s">
        <v>438</v>
      </c>
      <c r="I166" t="s">
        <v>1058</v>
      </c>
    </row>
    <row r="167" spans="1:9">
      <c r="A167" t="s">
        <v>969</v>
      </c>
      <c r="B167">
        <v>28</v>
      </c>
      <c r="C167" t="s">
        <v>970</v>
      </c>
      <c r="D167" t="str">
        <f t="shared" si="5"/>
        <v>TO-s28-PAR</v>
      </c>
      <c r="E167" t="s">
        <v>432</v>
      </c>
      <c r="F167" t="s">
        <v>1059</v>
      </c>
      <c r="G167" t="s">
        <v>54</v>
      </c>
      <c r="H167" t="s">
        <v>169</v>
      </c>
      <c r="I167" t="s">
        <v>1060</v>
      </c>
    </row>
    <row r="168" spans="1:9">
      <c r="A168" t="s">
        <v>969</v>
      </c>
      <c r="B168">
        <v>28</v>
      </c>
      <c r="C168" t="s">
        <v>970</v>
      </c>
      <c r="D168" t="str">
        <f t="shared" si="5"/>
        <v>TO-s28-PAR</v>
      </c>
      <c r="E168" t="s">
        <v>433</v>
      </c>
      <c r="F168" t="s">
        <v>1061</v>
      </c>
      <c r="G168" t="s">
        <v>1062</v>
      </c>
      <c r="H168" t="s">
        <v>1063</v>
      </c>
      <c r="I168" t="s">
        <v>1064</v>
      </c>
    </row>
    <row r="169" spans="1:9">
      <c r="A169" t="s">
        <v>969</v>
      </c>
      <c r="B169">
        <v>28</v>
      </c>
      <c r="C169" t="s">
        <v>970</v>
      </c>
      <c r="D169" t="str">
        <f t="shared" si="5"/>
        <v>TO-s28-PAR</v>
      </c>
      <c r="E169" t="s">
        <v>434</v>
      </c>
      <c r="F169" t="s">
        <v>1065</v>
      </c>
      <c r="G169" t="s">
        <v>1066</v>
      </c>
      <c r="H169" t="s">
        <v>1067</v>
      </c>
      <c r="I169" t="s">
        <v>1068</v>
      </c>
    </row>
    <row r="170" spans="1:9">
      <c r="A170" t="s">
        <v>969</v>
      </c>
      <c r="B170">
        <v>29</v>
      </c>
      <c r="C170" t="s">
        <v>970</v>
      </c>
      <c r="D170" t="str">
        <f t="shared" si="5"/>
        <v>TO-s29-PAR</v>
      </c>
      <c r="E170" t="s">
        <v>430</v>
      </c>
      <c r="F170" t="s">
        <v>1069</v>
      </c>
      <c r="G170" t="s">
        <v>589</v>
      </c>
      <c r="H170" t="s">
        <v>618</v>
      </c>
      <c r="I170" t="s">
        <v>1070</v>
      </c>
    </row>
    <row r="171" spans="1:9">
      <c r="A171" t="s">
        <v>969</v>
      </c>
      <c r="B171">
        <v>29</v>
      </c>
      <c r="C171" t="s">
        <v>970</v>
      </c>
      <c r="D171" t="str">
        <f t="shared" si="5"/>
        <v>TO-s29-PAR</v>
      </c>
      <c r="E171" t="s">
        <v>424</v>
      </c>
      <c r="F171" t="s">
        <v>1071</v>
      </c>
      <c r="G171" t="s">
        <v>821</v>
      </c>
      <c r="H171" t="s">
        <v>842</v>
      </c>
      <c r="I171" t="s">
        <v>1072</v>
      </c>
    </row>
    <row r="172" spans="1:9">
      <c r="A172" t="s">
        <v>969</v>
      </c>
      <c r="B172">
        <v>29</v>
      </c>
      <c r="C172" t="s">
        <v>970</v>
      </c>
      <c r="D172" t="str">
        <f t="shared" si="5"/>
        <v>TO-s29-PAR</v>
      </c>
      <c r="E172" t="s">
        <v>431</v>
      </c>
      <c r="F172" t="s">
        <v>1073</v>
      </c>
      <c r="G172" t="s">
        <v>1074</v>
      </c>
      <c r="H172" t="s">
        <v>839</v>
      </c>
      <c r="I172" t="s">
        <v>1075</v>
      </c>
    </row>
    <row r="173" spans="1:9">
      <c r="A173" t="s">
        <v>969</v>
      </c>
      <c r="B173">
        <v>29</v>
      </c>
      <c r="C173" t="s">
        <v>970</v>
      </c>
      <c r="D173" t="str">
        <f t="shared" si="5"/>
        <v>TO-s29-PAR</v>
      </c>
      <c r="E173" t="s">
        <v>432</v>
      </c>
      <c r="F173" t="s">
        <v>1076</v>
      </c>
      <c r="G173" t="s">
        <v>1077</v>
      </c>
      <c r="H173" t="s">
        <v>934</v>
      </c>
      <c r="I173" t="s">
        <v>1078</v>
      </c>
    </row>
    <row r="174" spans="1:9">
      <c r="A174" t="s">
        <v>969</v>
      </c>
      <c r="B174">
        <v>29</v>
      </c>
      <c r="C174" t="s">
        <v>970</v>
      </c>
      <c r="D174" t="str">
        <f t="shared" si="5"/>
        <v>TO-s29-PAR</v>
      </c>
      <c r="E174" t="s">
        <v>433</v>
      </c>
      <c r="F174" t="s">
        <v>1079</v>
      </c>
      <c r="G174" t="s">
        <v>1080</v>
      </c>
      <c r="H174" t="s">
        <v>481</v>
      </c>
      <c r="I174" t="s">
        <v>1081</v>
      </c>
    </row>
    <row r="175" spans="1:9">
      <c r="A175" t="s">
        <v>969</v>
      </c>
      <c r="B175">
        <v>29</v>
      </c>
      <c r="C175" t="s">
        <v>970</v>
      </c>
      <c r="D175" t="str">
        <f t="shared" si="5"/>
        <v>TO-s29-PAR</v>
      </c>
      <c r="E175" t="s">
        <v>434</v>
      </c>
      <c r="F175" t="s">
        <v>1082</v>
      </c>
      <c r="G175" t="s">
        <v>911</v>
      </c>
      <c r="H175" t="s">
        <v>1083</v>
      </c>
      <c r="I175" t="s">
        <v>1084</v>
      </c>
    </row>
    <row r="176" spans="1:9">
      <c r="A176" t="s">
        <v>969</v>
      </c>
      <c r="B176">
        <v>30</v>
      </c>
      <c r="C176" t="s">
        <v>970</v>
      </c>
      <c r="D176" t="str">
        <f t="shared" si="5"/>
        <v>TO-s30-PAR</v>
      </c>
      <c r="E176" t="s">
        <v>430</v>
      </c>
      <c r="F176" t="s">
        <v>1085</v>
      </c>
      <c r="G176" t="s">
        <v>1086</v>
      </c>
      <c r="H176" t="s">
        <v>883</v>
      </c>
      <c r="I176" t="s">
        <v>1087</v>
      </c>
    </row>
    <row r="177" spans="1:9">
      <c r="A177" t="s">
        <v>969</v>
      </c>
      <c r="B177">
        <v>30</v>
      </c>
      <c r="C177" t="s">
        <v>970</v>
      </c>
      <c r="D177" t="str">
        <f t="shared" si="5"/>
        <v>TO-s30-PAR</v>
      </c>
      <c r="E177" t="s">
        <v>424</v>
      </c>
      <c r="F177" t="s">
        <v>1088</v>
      </c>
      <c r="G177" t="s">
        <v>61</v>
      </c>
      <c r="H177" t="s">
        <v>481</v>
      </c>
      <c r="I177" t="s">
        <v>1089</v>
      </c>
    </row>
    <row r="178" spans="1:9">
      <c r="A178" t="s">
        <v>969</v>
      </c>
      <c r="B178">
        <v>30</v>
      </c>
      <c r="C178" t="s">
        <v>970</v>
      </c>
      <c r="D178" t="str">
        <f t="shared" si="5"/>
        <v>TO-s30-PAR</v>
      </c>
      <c r="E178" t="s">
        <v>431</v>
      </c>
      <c r="F178" t="s">
        <v>1090</v>
      </c>
      <c r="G178" t="s">
        <v>1091</v>
      </c>
      <c r="H178" t="s">
        <v>794</v>
      </c>
      <c r="I178" t="s">
        <v>1092</v>
      </c>
    </row>
    <row r="179" spans="1:9">
      <c r="A179" t="s">
        <v>969</v>
      </c>
      <c r="B179">
        <v>30</v>
      </c>
      <c r="C179" t="s">
        <v>970</v>
      </c>
      <c r="D179" t="str">
        <f t="shared" si="5"/>
        <v>TO-s30-PAR</v>
      </c>
      <c r="E179" t="s">
        <v>432</v>
      </c>
      <c r="F179" t="s">
        <v>1093</v>
      </c>
      <c r="G179" t="s">
        <v>462</v>
      </c>
      <c r="H179" t="s">
        <v>1094</v>
      </c>
      <c r="I179" t="s">
        <v>1095</v>
      </c>
    </row>
    <row r="180" spans="1:9">
      <c r="A180" t="s">
        <v>969</v>
      </c>
      <c r="B180">
        <v>30</v>
      </c>
      <c r="C180" t="s">
        <v>970</v>
      </c>
      <c r="D180" t="str">
        <f t="shared" si="5"/>
        <v>TO-s30-PAR</v>
      </c>
      <c r="E180" t="s">
        <v>433</v>
      </c>
      <c r="F180" t="s">
        <v>1096</v>
      </c>
      <c r="G180" t="s">
        <v>1097</v>
      </c>
      <c r="H180" t="s">
        <v>438</v>
      </c>
      <c r="I180" t="s">
        <v>1098</v>
      </c>
    </row>
    <row r="181" spans="1:9">
      <c r="A181" t="s">
        <v>969</v>
      </c>
      <c r="B181">
        <v>30</v>
      </c>
      <c r="C181" t="s">
        <v>970</v>
      </c>
      <c r="D181" t="str">
        <f t="shared" si="5"/>
        <v>TO-s30-PAR</v>
      </c>
      <c r="E181" t="s">
        <v>434</v>
      </c>
      <c r="F181" t="s">
        <v>1099</v>
      </c>
      <c r="G181" t="s">
        <v>1100</v>
      </c>
      <c r="H181" t="s">
        <v>218</v>
      </c>
      <c r="I181" t="s">
        <v>1101</v>
      </c>
    </row>
    <row r="182" spans="1:9">
      <c r="A182" t="s">
        <v>969</v>
      </c>
      <c r="B182">
        <v>31</v>
      </c>
      <c r="C182" t="s">
        <v>970</v>
      </c>
      <c r="D182" t="str">
        <f t="shared" si="5"/>
        <v>TO-s31-PAR</v>
      </c>
      <c r="E182" t="s">
        <v>430</v>
      </c>
      <c r="F182" t="s">
        <v>1102</v>
      </c>
      <c r="G182" t="s">
        <v>1103</v>
      </c>
      <c r="H182" t="s">
        <v>1104</v>
      </c>
      <c r="I182" t="s">
        <v>1105</v>
      </c>
    </row>
    <row r="183" spans="1:9">
      <c r="A183" t="s">
        <v>969</v>
      </c>
      <c r="B183">
        <v>31</v>
      </c>
      <c r="C183" t="s">
        <v>970</v>
      </c>
      <c r="D183" t="str">
        <f t="shared" si="5"/>
        <v>TO-s31-PAR</v>
      </c>
      <c r="E183" t="s">
        <v>424</v>
      </c>
      <c r="F183" t="s">
        <v>1106</v>
      </c>
      <c r="G183" t="s">
        <v>1107</v>
      </c>
      <c r="H183" t="s">
        <v>696</v>
      </c>
      <c r="I183" t="s">
        <v>1108</v>
      </c>
    </row>
    <row r="184" spans="1:9">
      <c r="A184" t="s">
        <v>969</v>
      </c>
      <c r="B184">
        <v>31</v>
      </c>
      <c r="C184" t="s">
        <v>970</v>
      </c>
      <c r="D184" t="str">
        <f t="shared" si="5"/>
        <v>TO-s31-PAR</v>
      </c>
      <c r="E184" t="s">
        <v>431</v>
      </c>
      <c r="F184" t="s">
        <v>1109</v>
      </c>
      <c r="G184" t="s">
        <v>851</v>
      </c>
      <c r="H184" t="s">
        <v>718</v>
      </c>
      <c r="I184" t="s">
        <v>1110</v>
      </c>
    </row>
    <row r="185" spans="1:9">
      <c r="A185" t="s">
        <v>969</v>
      </c>
      <c r="B185">
        <v>31</v>
      </c>
      <c r="C185" t="s">
        <v>970</v>
      </c>
      <c r="D185" t="str">
        <f t="shared" si="5"/>
        <v>TO-s31-PAR</v>
      </c>
      <c r="E185" t="s">
        <v>432</v>
      </c>
      <c r="F185" t="s">
        <v>1111</v>
      </c>
      <c r="G185" t="s">
        <v>1112</v>
      </c>
      <c r="H185" t="s">
        <v>696</v>
      </c>
      <c r="I185" t="s">
        <v>1113</v>
      </c>
    </row>
    <row r="186" spans="1:9">
      <c r="A186" t="s">
        <v>969</v>
      </c>
      <c r="B186">
        <v>31</v>
      </c>
      <c r="C186" t="s">
        <v>970</v>
      </c>
      <c r="D186" t="str">
        <f t="shared" si="5"/>
        <v>TO-s31-PAR</v>
      </c>
      <c r="E186" t="s">
        <v>433</v>
      </c>
      <c r="F186" t="s">
        <v>1114</v>
      </c>
      <c r="G186" t="s">
        <v>1115</v>
      </c>
      <c r="H186" t="s">
        <v>835</v>
      </c>
      <c r="I186" t="s">
        <v>1116</v>
      </c>
    </row>
    <row r="187" spans="1:9">
      <c r="A187" t="s">
        <v>969</v>
      </c>
      <c r="B187">
        <v>31</v>
      </c>
      <c r="C187" t="s">
        <v>970</v>
      </c>
      <c r="D187" t="str">
        <f t="shared" si="5"/>
        <v>TO-s31-PAR</v>
      </c>
      <c r="E187" t="s">
        <v>434</v>
      </c>
      <c r="F187" t="s">
        <v>1117</v>
      </c>
      <c r="G187" t="s">
        <v>1118</v>
      </c>
      <c r="H187" t="s">
        <v>580</v>
      </c>
      <c r="I187" t="s">
        <v>1119</v>
      </c>
    </row>
    <row r="188" spans="1:9">
      <c r="A188" t="s">
        <v>969</v>
      </c>
      <c r="B188">
        <v>32</v>
      </c>
      <c r="C188" t="s">
        <v>970</v>
      </c>
      <c r="D188" t="str">
        <f t="shared" si="5"/>
        <v>TO-s32-PAR</v>
      </c>
      <c r="E188" t="s">
        <v>430</v>
      </c>
      <c r="F188" t="s">
        <v>1120</v>
      </c>
      <c r="G188" t="s">
        <v>26</v>
      </c>
      <c r="H188" t="s">
        <v>1121</v>
      </c>
      <c r="I188" t="s">
        <v>1122</v>
      </c>
    </row>
    <row r="189" spans="1:9">
      <c r="A189" t="s">
        <v>969</v>
      </c>
      <c r="B189">
        <v>32</v>
      </c>
      <c r="C189" t="s">
        <v>970</v>
      </c>
      <c r="D189" t="str">
        <f t="shared" si="5"/>
        <v>TO-s32-PAR</v>
      </c>
      <c r="E189" t="s">
        <v>424</v>
      </c>
      <c r="F189" t="s">
        <v>1123</v>
      </c>
      <c r="G189" t="s">
        <v>1124</v>
      </c>
      <c r="H189" t="s">
        <v>175</v>
      </c>
      <c r="I189" t="s">
        <v>1125</v>
      </c>
    </row>
    <row r="190" spans="1:9">
      <c r="A190" t="s">
        <v>969</v>
      </c>
      <c r="B190">
        <v>32</v>
      </c>
      <c r="C190" t="s">
        <v>970</v>
      </c>
      <c r="D190" t="str">
        <f t="shared" si="5"/>
        <v>TO-s32-PAR</v>
      </c>
      <c r="E190" t="s">
        <v>431</v>
      </c>
      <c r="F190" t="s">
        <v>1126</v>
      </c>
      <c r="G190" t="s">
        <v>1127</v>
      </c>
      <c r="H190" t="s">
        <v>1128</v>
      </c>
      <c r="I190" t="s">
        <v>1129</v>
      </c>
    </row>
    <row r="191" spans="1:9">
      <c r="A191" t="s">
        <v>969</v>
      </c>
      <c r="B191">
        <v>32</v>
      </c>
      <c r="C191" t="s">
        <v>970</v>
      </c>
      <c r="D191" t="str">
        <f t="shared" si="5"/>
        <v>TO-s32-PAR</v>
      </c>
      <c r="E191" t="s">
        <v>432</v>
      </c>
      <c r="F191" t="s">
        <v>1130</v>
      </c>
      <c r="G191" t="s">
        <v>20</v>
      </c>
      <c r="H191" t="s">
        <v>1131</v>
      </c>
      <c r="I191" t="s">
        <v>1132</v>
      </c>
    </row>
    <row r="192" spans="1:9">
      <c r="A192" t="s">
        <v>969</v>
      </c>
      <c r="B192">
        <v>32</v>
      </c>
      <c r="C192" t="s">
        <v>970</v>
      </c>
      <c r="D192" t="str">
        <f t="shared" si="5"/>
        <v>TO-s32-PAR</v>
      </c>
      <c r="E192" t="s">
        <v>433</v>
      </c>
      <c r="F192" t="s">
        <v>1133</v>
      </c>
      <c r="G192" t="s">
        <v>1134</v>
      </c>
      <c r="H192" t="s">
        <v>1135</v>
      </c>
      <c r="I192" t="s">
        <v>1136</v>
      </c>
    </row>
    <row r="193" spans="1:9">
      <c r="A193" t="s">
        <v>969</v>
      </c>
      <c r="B193">
        <v>32</v>
      </c>
      <c r="C193" t="s">
        <v>970</v>
      </c>
      <c r="D193" t="str">
        <f t="shared" si="5"/>
        <v>TO-s32-PAR</v>
      </c>
      <c r="E193" t="s">
        <v>434</v>
      </c>
      <c r="F193" t="s">
        <v>1137</v>
      </c>
      <c r="G193" t="s">
        <v>553</v>
      </c>
      <c r="H193" t="s">
        <v>794</v>
      </c>
      <c r="I193" t="s">
        <v>1138</v>
      </c>
    </row>
    <row r="194" spans="1:9">
      <c r="A194" t="s">
        <v>969</v>
      </c>
      <c r="B194">
        <v>33</v>
      </c>
      <c r="C194" t="s">
        <v>970</v>
      </c>
      <c r="D194" t="str">
        <f t="shared" si="5"/>
        <v>TO-s33-PAR</v>
      </c>
      <c r="E194" t="s">
        <v>430</v>
      </c>
      <c r="F194" t="s">
        <v>1139</v>
      </c>
      <c r="G194" t="s">
        <v>1086</v>
      </c>
      <c r="H194" t="s">
        <v>861</v>
      </c>
      <c r="I194" t="s">
        <v>1140</v>
      </c>
    </row>
    <row r="195" spans="1:9">
      <c r="A195" t="s">
        <v>969</v>
      </c>
      <c r="B195">
        <v>33</v>
      </c>
      <c r="C195" t="s">
        <v>970</v>
      </c>
      <c r="D195" t="str">
        <f t="shared" si="5"/>
        <v>TO-s33-PAR</v>
      </c>
      <c r="E195" t="s">
        <v>424</v>
      </c>
      <c r="F195" t="s">
        <v>1141</v>
      </c>
      <c r="G195" t="s">
        <v>1142</v>
      </c>
      <c r="H195" t="s">
        <v>1143</v>
      </c>
      <c r="I195" t="s">
        <v>1144</v>
      </c>
    </row>
    <row r="196" spans="1:9">
      <c r="A196" t="s">
        <v>969</v>
      </c>
      <c r="B196">
        <v>33</v>
      </c>
      <c r="C196" t="s">
        <v>970</v>
      </c>
      <c r="D196" t="str">
        <f t="shared" si="5"/>
        <v>TO-s33-PAR</v>
      </c>
      <c r="E196" t="s">
        <v>431</v>
      </c>
      <c r="F196" t="s">
        <v>1145</v>
      </c>
      <c r="G196" t="s">
        <v>1146</v>
      </c>
      <c r="H196" t="s">
        <v>594</v>
      </c>
      <c r="I196" t="s">
        <v>1147</v>
      </c>
    </row>
    <row r="197" spans="1:9">
      <c r="A197" t="s">
        <v>969</v>
      </c>
      <c r="B197">
        <v>33</v>
      </c>
      <c r="C197" t="s">
        <v>970</v>
      </c>
      <c r="D197" t="str">
        <f t="shared" si="5"/>
        <v>TO-s33-PAR</v>
      </c>
      <c r="E197" t="s">
        <v>432</v>
      </c>
      <c r="F197" t="s">
        <v>1148</v>
      </c>
      <c r="G197" t="s">
        <v>827</v>
      </c>
      <c r="H197" t="s">
        <v>939</v>
      </c>
      <c r="I197" t="s">
        <v>1149</v>
      </c>
    </row>
    <row r="198" spans="1:9">
      <c r="A198" t="s">
        <v>969</v>
      </c>
      <c r="B198">
        <v>33</v>
      </c>
      <c r="C198" t="s">
        <v>970</v>
      </c>
      <c r="D198" t="str">
        <f t="shared" si="5"/>
        <v>TO-s33-PAR</v>
      </c>
      <c r="E198" t="s">
        <v>433</v>
      </c>
      <c r="F198" t="s">
        <v>1150</v>
      </c>
      <c r="G198" t="s">
        <v>797</v>
      </c>
      <c r="H198" t="s">
        <v>438</v>
      </c>
      <c r="I198" t="s">
        <v>1151</v>
      </c>
    </row>
    <row r="199" spans="1:9">
      <c r="A199" t="s">
        <v>969</v>
      </c>
      <c r="B199">
        <v>33</v>
      </c>
      <c r="C199" t="s">
        <v>970</v>
      </c>
      <c r="D199" t="str">
        <f t="shared" si="5"/>
        <v>TO-s33-PAR</v>
      </c>
      <c r="E199" t="s">
        <v>434</v>
      </c>
      <c r="F199" t="s">
        <v>1152</v>
      </c>
      <c r="G199" t="s">
        <v>462</v>
      </c>
      <c r="H199" t="s">
        <v>466</v>
      </c>
      <c r="I199" t="s">
        <v>1153</v>
      </c>
    </row>
    <row r="200" spans="1:9">
      <c r="A200" t="s">
        <v>969</v>
      </c>
      <c r="B200">
        <v>34</v>
      </c>
      <c r="C200" t="s">
        <v>970</v>
      </c>
      <c r="D200" t="str">
        <f t="shared" si="5"/>
        <v>TO-s34-PAR</v>
      </c>
      <c r="E200" t="s">
        <v>430</v>
      </c>
      <c r="F200" t="s">
        <v>1154</v>
      </c>
      <c r="G200" t="s">
        <v>26</v>
      </c>
      <c r="H200" t="s">
        <v>839</v>
      </c>
      <c r="I200" t="s">
        <v>1155</v>
      </c>
    </row>
    <row r="201" spans="1:9">
      <c r="A201" t="s">
        <v>969</v>
      </c>
      <c r="B201">
        <v>34</v>
      </c>
      <c r="C201" t="s">
        <v>970</v>
      </c>
      <c r="D201" t="str">
        <f t="shared" si="5"/>
        <v>TO-s34-PAR</v>
      </c>
      <c r="E201" t="s">
        <v>424</v>
      </c>
      <c r="F201" t="s">
        <v>1156</v>
      </c>
      <c r="G201" t="s">
        <v>593</v>
      </c>
      <c r="H201" t="s">
        <v>1157</v>
      </c>
      <c r="I201" t="s">
        <v>1158</v>
      </c>
    </row>
    <row r="202" spans="1:9">
      <c r="A202" t="s">
        <v>969</v>
      </c>
      <c r="B202">
        <v>34</v>
      </c>
      <c r="C202" t="s">
        <v>970</v>
      </c>
      <c r="D202" t="str">
        <f t="shared" si="5"/>
        <v>TO-s34-PAR</v>
      </c>
      <c r="E202" t="s">
        <v>431</v>
      </c>
      <c r="F202" t="s">
        <v>1159</v>
      </c>
      <c r="G202" t="s">
        <v>1160</v>
      </c>
      <c r="H202" t="s">
        <v>1157</v>
      </c>
      <c r="I202" t="s">
        <v>1161</v>
      </c>
    </row>
    <row r="203" spans="1:9">
      <c r="A203" t="s">
        <v>969</v>
      </c>
      <c r="B203">
        <v>34</v>
      </c>
      <c r="C203" t="s">
        <v>970</v>
      </c>
      <c r="D203" t="str">
        <f t="shared" si="5"/>
        <v>TO-s34-PAR</v>
      </c>
      <c r="E203" t="s">
        <v>432</v>
      </c>
      <c r="F203" t="s">
        <v>1162</v>
      </c>
      <c r="G203" t="s">
        <v>1163</v>
      </c>
      <c r="H203" t="s">
        <v>1135</v>
      </c>
      <c r="I203" t="s">
        <v>1164</v>
      </c>
    </row>
    <row r="204" spans="1:9">
      <c r="A204" t="s">
        <v>969</v>
      </c>
      <c r="B204">
        <v>34</v>
      </c>
      <c r="C204" t="s">
        <v>970</v>
      </c>
      <c r="D204" t="str">
        <f t="shared" si="5"/>
        <v>TO-s34-PAR</v>
      </c>
      <c r="E204" t="s">
        <v>433</v>
      </c>
      <c r="F204" t="s">
        <v>1165</v>
      </c>
      <c r="G204" t="s">
        <v>1166</v>
      </c>
      <c r="H204" t="s">
        <v>1135</v>
      </c>
      <c r="I204" t="s">
        <v>1167</v>
      </c>
    </row>
    <row r="205" spans="1:9">
      <c r="A205" t="s">
        <v>969</v>
      </c>
      <c r="B205">
        <v>34</v>
      </c>
      <c r="C205" t="s">
        <v>970</v>
      </c>
      <c r="D205" t="str">
        <f t="shared" si="5"/>
        <v>TO-s34-PAR</v>
      </c>
      <c r="E205" t="s">
        <v>434</v>
      </c>
      <c r="F205" t="s">
        <v>1168</v>
      </c>
      <c r="G205" t="s">
        <v>1169</v>
      </c>
      <c r="H205" t="s">
        <v>842</v>
      </c>
      <c r="I205" t="s">
        <v>1170</v>
      </c>
    </row>
    <row r="206" spans="1:9">
      <c r="A206" s="4" t="s">
        <v>969</v>
      </c>
      <c r="B206" s="4">
        <v>1</v>
      </c>
      <c r="C206" s="4" t="s">
        <v>968</v>
      </c>
      <c r="D206" s="4" t="str">
        <f t="shared" si="5"/>
        <v>TO-s1-IMP</v>
      </c>
      <c r="E206" s="4" t="s">
        <v>430</v>
      </c>
      <c r="F206" s="4" t="s">
        <v>55</v>
      </c>
      <c r="G206" s="4" t="s">
        <v>1171</v>
      </c>
      <c r="H206" s="4" t="s">
        <v>422</v>
      </c>
      <c r="I206" s="4" t="s">
        <v>423</v>
      </c>
    </row>
    <row r="207" spans="1:9">
      <c r="A207" t="s">
        <v>969</v>
      </c>
      <c r="B207">
        <v>1</v>
      </c>
      <c r="C207" t="s">
        <v>968</v>
      </c>
      <c r="D207" t="str">
        <f t="shared" si="5"/>
        <v>TO-s1-IMP</v>
      </c>
      <c r="E207" t="s">
        <v>424</v>
      </c>
      <c r="F207" t="s">
        <v>1172</v>
      </c>
      <c r="G207" t="s">
        <v>1173</v>
      </c>
      <c r="H207" t="s">
        <v>427</v>
      </c>
      <c r="I207" t="s">
        <v>428</v>
      </c>
    </row>
    <row r="208" spans="1:9">
      <c r="A208" t="s">
        <v>969</v>
      </c>
      <c r="B208">
        <v>1</v>
      </c>
      <c r="C208" t="s">
        <v>968</v>
      </c>
      <c r="D208" t="str">
        <f t="shared" si="5"/>
        <v>TO-s1-IMP</v>
      </c>
      <c r="E208" t="s">
        <v>431</v>
      </c>
      <c r="F208" t="s">
        <v>1174</v>
      </c>
      <c r="G208" t="s">
        <v>1175</v>
      </c>
      <c r="H208" t="s">
        <v>1176</v>
      </c>
      <c r="I208" t="s">
        <v>1177</v>
      </c>
    </row>
    <row r="209" spans="1:9">
      <c r="A209" t="s">
        <v>969</v>
      </c>
      <c r="B209">
        <v>1</v>
      </c>
      <c r="C209" t="s">
        <v>968</v>
      </c>
      <c r="D209" t="str">
        <f t="shared" si="5"/>
        <v>TO-s1-IMP</v>
      </c>
      <c r="E209" t="s">
        <v>432</v>
      </c>
      <c r="F209" t="s">
        <v>1178</v>
      </c>
      <c r="G209" t="s">
        <v>1179</v>
      </c>
      <c r="H209" t="s">
        <v>442</v>
      </c>
      <c r="I209" t="s">
        <v>1180</v>
      </c>
    </row>
    <row r="210" spans="1:9">
      <c r="A210" t="s">
        <v>969</v>
      </c>
      <c r="B210">
        <v>1</v>
      </c>
      <c r="C210" t="s">
        <v>968</v>
      </c>
      <c r="D210" t="str">
        <f t="shared" si="5"/>
        <v>TO-s1-IMP</v>
      </c>
      <c r="E210" t="s">
        <v>433</v>
      </c>
      <c r="F210" t="s">
        <v>1181</v>
      </c>
      <c r="G210" t="s">
        <v>1182</v>
      </c>
      <c r="H210" t="s">
        <v>446</v>
      </c>
      <c r="I210" t="s">
        <v>447</v>
      </c>
    </row>
    <row r="211" spans="1:9">
      <c r="A211" t="s">
        <v>969</v>
      </c>
      <c r="B211">
        <v>1</v>
      </c>
      <c r="C211" t="s">
        <v>968</v>
      </c>
      <c r="D211" t="str">
        <f t="shared" ref="D211" si="6">_xlfn.CONCAT(A211,"-s",B211,"-",C211)</f>
        <v>TO-s1-IMP</v>
      </c>
      <c r="E211" t="s">
        <v>434</v>
      </c>
      <c r="F211" t="s">
        <v>1183</v>
      </c>
      <c r="G211" t="s">
        <v>560</v>
      </c>
      <c r="H211" t="s">
        <v>22</v>
      </c>
      <c r="I211" t="s">
        <v>450</v>
      </c>
    </row>
    <row r="212" spans="1:9">
      <c r="A212" t="s">
        <v>969</v>
      </c>
      <c r="B212">
        <v>2</v>
      </c>
      <c r="C212" t="s">
        <v>968</v>
      </c>
      <c r="D212" t="str">
        <f t="shared" ref="D212:D275" si="7">_xlfn.CONCAT(A212,"-s",B212,"-",C212)</f>
        <v>TO-s2-IMP</v>
      </c>
      <c r="E212" t="s">
        <v>430</v>
      </c>
      <c r="F212" t="s">
        <v>1184</v>
      </c>
      <c r="G212" t="s">
        <v>1185</v>
      </c>
      <c r="H212" t="s">
        <v>455</v>
      </c>
      <c r="I212" t="s">
        <v>456</v>
      </c>
    </row>
    <row r="213" spans="1:9">
      <c r="A213" t="s">
        <v>969</v>
      </c>
      <c r="B213">
        <v>2</v>
      </c>
      <c r="C213" t="s">
        <v>968</v>
      </c>
      <c r="D213" t="str">
        <f t="shared" si="7"/>
        <v>TO-s2-IMP</v>
      </c>
      <c r="E213" t="s">
        <v>424</v>
      </c>
      <c r="F213" t="s">
        <v>1186</v>
      </c>
      <c r="G213" t="s">
        <v>1187</v>
      </c>
      <c r="H213" t="s">
        <v>459</v>
      </c>
      <c r="I213" t="s">
        <v>460</v>
      </c>
    </row>
    <row r="214" spans="1:9">
      <c r="A214" t="s">
        <v>969</v>
      </c>
      <c r="B214">
        <v>2</v>
      </c>
      <c r="C214" t="s">
        <v>968</v>
      </c>
      <c r="D214" t="str">
        <f t="shared" si="7"/>
        <v>TO-s2-IMP</v>
      </c>
      <c r="E214" t="s">
        <v>431</v>
      </c>
      <c r="F214" t="s">
        <v>1188</v>
      </c>
      <c r="G214" t="s">
        <v>1185</v>
      </c>
      <c r="H214" t="s">
        <v>442</v>
      </c>
      <c r="I214" t="s">
        <v>463</v>
      </c>
    </row>
    <row r="215" spans="1:9">
      <c r="A215" t="s">
        <v>969</v>
      </c>
      <c r="B215">
        <v>2</v>
      </c>
      <c r="C215" t="s">
        <v>968</v>
      </c>
      <c r="D215" t="str">
        <f t="shared" si="7"/>
        <v>TO-s2-IMP</v>
      </c>
      <c r="E215" t="s">
        <v>432</v>
      </c>
      <c r="F215" t="s">
        <v>1189</v>
      </c>
      <c r="G215" t="s">
        <v>1007</v>
      </c>
      <c r="H215" t="s">
        <v>466</v>
      </c>
      <c r="I215" t="s">
        <v>467</v>
      </c>
    </row>
    <row r="216" spans="1:9">
      <c r="A216" t="s">
        <v>969</v>
      </c>
      <c r="B216">
        <v>2</v>
      </c>
      <c r="C216" t="s">
        <v>968</v>
      </c>
      <c r="D216" t="str">
        <f t="shared" si="7"/>
        <v>TO-s2-IMP</v>
      </c>
      <c r="E216" t="s">
        <v>433</v>
      </c>
      <c r="F216" t="s">
        <v>1190</v>
      </c>
      <c r="G216" t="s">
        <v>1191</v>
      </c>
      <c r="H216" t="s">
        <v>470</v>
      </c>
      <c r="I216" t="s">
        <v>471</v>
      </c>
    </row>
    <row r="217" spans="1:9">
      <c r="A217" t="s">
        <v>969</v>
      </c>
      <c r="B217">
        <v>2</v>
      </c>
      <c r="C217" t="s">
        <v>968</v>
      </c>
      <c r="D217" t="str">
        <f t="shared" si="7"/>
        <v>TO-s2-IMP</v>
      </c>
      <c r="E217" t="s">
        <v>434</v>
      </c>
      <c r="F217" t="s">
        <v>1192</v>
      </c>
      <c r="G217" t="s">
        <v>182</v>
      </c>
      <c r="H217" t="s">
        <v>958</v>
      </c>
      <c r="I217" t="s">
        <v>475</v>
      </c>
    </row>
    <row r="218" spans="1:9">
      <c r="A218" t="s">
        <v>969</v>
      </c>
      <c r="B218">
        <v>3</v>
      </c>
      <c r="C218" t="s">
        <v>968</v>
      </c>
      <c r="D218" t="str">
        <f t="shared" si="7"/>
        <v>TO-s3-IMP</v>
      </c>
      <c r="E218" t="s">
        <v>430</v>
      </c>
      <c r="F218" t="s">
        <v>1193</v>
      </c>
      <c r="G218" t="s">
        <v>54</v>
      </c>
      <c r="H218" t="s">
        <v>466</v>
      </c>
      <c r="I218" t="s">
        <v>478</v>
      </c>
    </row>
    <row r="219" spans="1:9">
      <c r="A219" t="s">
        <v>969</v>
      </c>
      <c r="B219">
        <v>3</v>
      </c>
      <c r="C219" t="s">
        <v>968</v>
      </c>
      <c r="D219" t="str">
        <f t="shared" si="7"/>
        <v>TO-s3-IMP</v>
      </c>
      <c r="E219" t="s">
        <v>424</v>
      </c>
      <c r="F219" t="s">
        <v>1194</v>
      </c>
      <c r="G219" t="s">
        <v>1195</v>
      </c>
      <c r="H219" t="s">
        <v>481</v>
      </c>
      <c r="I219" t="s">
        <v>482</v>
      </c>
    </row>
    <row r="220" spans="1:9">
      <c r="A220" t="s">
        <v>969</v>
      </c>
      <c r="B220">
        <v>3</v>
      </c>
      <c r="C220" t="s">
        <v>968</v>
      </c>
      <c r="D220" t="str">
        <f t="shared" si="7"/>
        <v>TO-s3-IMP</v>
      </c>
      <c r="E220" t="s">
        <v>431</v>
      </c>
      <c r="F220" t="s">
        <v>1196</v>
      </c>
      <c r="G220" t="s">
        <v>1185</v>
      </c>
      <c r="H220" t="s">
        <v>291</v>
      </c>
      <c r="I220" t="s">
        <v>485</v>
      </c>
    </row>
    <row r="221" spans="1:9">
      <c r="A221" t="s">
        <v>969</v>
      </c>
      <c r="B221">
        <v>3</v>
      </c>
      <c r="C221" t="s">
        <v>968</v>
      </c>
      <c r="D221" t="str">
        <f t="shared" si="7"/>
        <v>TO-s3-IMP</v>
      </c>
      <c r="E221" t="s">
        <v>432</v>
      </c>
      <c r="F221" t="s">
        <v>1197</v>
      </c>
      <c r="G221" t="s">
        <v>26</v>
      </c>
      <c r="H221" t="s">
        <v>1198</v>
      </c>
      <c r="I221" t="s">
        <v>489</v>
      </c>
    </row>
    <row r="222" spans="1:9">
      <c r="A222" t="s">
        <v>969</v>
      </c>
      <c r="B222">
        <v>3</v>
      </c>
      <c r="C222" t="s">
        <v>968</v>
      </c>
      <c r="D222" t="str">
        <f t="shared" si="7"/>
        <v>TO-s3-IMP</v>
      </c>
      <c r="E222" t="s">
        <v>433</v>
      </c>
      <c r="F222" t="s">
        <v>1199</v>
      </c>
      <c r="G222" t="s">
        <v>1200</v>
      </c>
      <c r="H222" t="s">
        <v>481</v>
      </c>
      <c r="I222" t="s">
        <v>492</v>
      </c>
    </row>
    <row r="223" spans="1:9">
      <c r="A223" t="s">
        <v>969</v>
      </c>
      <c r="B223">
        <v>3</v>
      </c>
      <c r="C223" t="s">
        <v>968</v>
      </c>
      <c r="D223" t="str">
        <f t="shared" si="7"/>
        <v>TO-s3-IMP</v>
      </c>
      <c r="E223" t="s">
        <v>434</v>
      </c>
      <c r="F223" t="s">
        <v>1201</v>
      </c>
      <c r="G223" t="s">
        <v>1202</v>
      </c>
      <c r="H223" t="s">
        <v>495</v>
      </c>
      <c r="I223" t="s">
        <v>496</v>
      </c>
    </row>
    <row r="224" spans="1:9">
      <c r="A224" t="s">
        <v>969</v>
      </c>
      <c r="B224">
        <v>4</v>
      </c>
      <c r="C224" t="s">
        <v>968</v>
      </c>
      <c r="D224" t="str">
        <f t="shared" si="7"/>
        <v>TO-s4-IMP</v>
      </c>
      <c r="E224" t="s">
        <v>430</v>
      </c>
      <c r="F224" t="s">
        <v>1203</v>
      </c>
      <c r="G224" t="s">
        <v>1204</v>
      </c>
      <c r="H224" t="s">
        <v>446</v>
      </c>
      <c r="I224" t="s">
        <v>499</v>
      </c>
    </row>
    <row r="225" spans="1:9">
      <c r="A225" t="s">
        <v>969</v>
      </c>
      <c r="B225">
        <v>4</v>
      </c>
      <c r="C225" t="s">
        <v>968</v>
      </c>
      <c r="D225" t="str">
        <f t="shared" si="7"/>
        <v>TO-s4-IMP</v>
      </c>
      <c r="E225" t="s">
        <v>424</v>
      </c>
      <c r="F225" t="s">
        <v>1205</v>
      </c>
      <c r="G225" t="s">
        <v>1206</v>
      </c>
      <c r="H225" t="s">
        <v>502</v>
      </c>
      <c r="I225" t="s">
        <v>503</v>
      </c>
    </row>
    <row r="226" spans="1:9">
      <c r="A226" t="s">
        <v>969</v>
      </c>
      <c r="B226">
        <v>4</v>
      </c>
      <c r="C226" t="s">
        <v>968</v>
      </c>
      <c r="D226" t="str">
        <f t="shared" si="7"/>
        <v>TO-s4-IMP</v>
      </c>
      <c r="E226" t="s">
        <v>431</v>
      </c>
      <c r="F226" t="s">
        <v>1207</v>
      </c>
      <c r="G226" t="s">
        <v>1208</v>
      </c>
      <c r="H226" t="s">
        <v>438</v>
      </c>
      <c r="I226" t="s">
        <v>506</v>
      </c>
    </row>
    <row r="227" spans="1:9">
      <c r="A227" t="s">
        <v>969</v>
      </c>
      <c r="B227">
        <v>4</v>
      </c>
      <c r="C227" t="s">
        <v>968</v>
      </c>
      <c r="D227" t="str">
        <f t="shared" si="7"/>
        <v>TO-s4-IMP</v>
      </c>
      <c r="E227" t="s">
        <v>432</v>
      </c>
      <c r="F227" t="s">
        <v>1209</v>
      </c>
      <c r="G227" t="s">
        <v>1210</v>
      </c>
      <c r="H227" t="s">
        <v>422</v>
      </c>
      <c r="I227" t="s">
        <v>509</v>
      </c>
    </row>
    <row r="228" spans="1:9">
      <c r="A228" t="s">
        <v>969</v>
      </c>
      <c r="B228">
        <v>4</v>
      </c>
      <c r="C228" t="s">
        <v>968</v>
      </c>
      <c r="D228" t="str">
        <f t="shared" si="7"/>
        <v>TO-s4-IMP</v>
      </c>
      <c r="E228" t="s">
        <v>433</v>
      </c>
      <c r="F228" t="s">
        <v>1211</v>
      </c>
      <c r="G228" t="s">
        <v>1212</v>
      </c>
      <c r="H228" t="s">
        <v>512</v>
      </c>
      <c r="I228" t="s">
        <v>513</v>
      </c>
    </row>
    <row r="229" spans="1:9">
      <c r="A229" t="s">
        <v>969</v>
      </c>
      <c r="B229">
        <v>4</v>
      </c>
      <c r="C229" t="s">
        <v>968</v>
      </c>
      <c r="D229" t="str">
        <f t="shared" si="7"/>
        <v>TO-s4-IMP</v>
      </c>
      <c r="E229" t="s">
        <v>434</v>
      </c>
      <c r="F229" t="s">
        <v>1213</v>
      </c>
      <c r="G229" t="s">
        <v>111</v>
      </c>
      <c r="H229" t="s">
        <v>438</v>
      </c>
      <c r="I229" t="s">
        <v>1214</v>
      </c>
    </row>
    <row r="230" spans="1:9">
      <c r="A230" t="s">
        <v>969</v>
      </c>
      <c r="B230">
        <v>5</v>
      </c>
      <c r="C230" t="s">
        <v>968</v>
      </c>
      <c r="D230" t="str">
        <f t="shared" si="7"/>
        <v>TO-s5-IMP</v>
      </c>
      <c r="E230" t="s">
        <v>430</v>
      </c>
      <c r="F230" t="s">
        <v>1215</v>
      </c>
      <c r="G230" t="s">
        <v>1216</v>
      </c>
      <c r="H230" t="s">
        <v>442</v>
      </c>
      <c r="I230" t="s">
        <v>519</v>
      </c>
    </row>
    <row r="231" spans="1:9">
      <c r="A231" t="s">
        <v>969</v>
      </c>
      <c r="B231">
        <v>5</v>
      </c>
      <c r="C231" t="s">
        <v>968</v>
      </c>
      <c r="D231" t="str">
        <f t="shared" si="7"/>
        <v>TO-s5-IMP</v>
      </c>
      <c r="E231" t="s">
        <v>424</v>
      </c>
      <c r="F231" t="s">
        <v>1217</v>
      </c>
      <c r="G231" t="s">
        <v>1218</v>
      </c>
      <c r="H231" t="s">
        <v>522</v>
      </c>
      <c r="I231" t="s">
        <v>523</v>
      </c>
    </row>
    <row r="232" spans="1:9">
      <c r="A232" t="s">
        <v>969</v>
      </c>
      <c r="B232">
        <v>5</v>
      </c>
      <c r="C232" t="s">
        <v>968</v>
      </c>
      <c r="D232" t="str">
        <f t="shared" si="7"/>
        <v>TO-s5-IMP</v>
      </c>
      <c r="E232" t="s">
        <v>431</v>
      </c>
      <c r="F232" t="s">
        <v>1219</v>
      </c>
      <c r="G232" t="s">
        <v>1220</v>
      </c>
      <c r="H232" t="s">
        <v>883</v>
      </c>
      <c r="I232" t="s">
        <v>527</v>
      </c>
    </row>
    <row r="233" spans="1:9">
      <c r="A233" t="s">
        <v>969</v>
      </c>
      <c r="B233">
        <v>5</v>
      </c>
      <c r="C233" t="s">
        <v>968</v>
      </c>
      <c r="D233" t="str">
        <f t="shared" si="7"/>
        <v>TO-s5-IMP</v>
      </c>
      <c r="E233" t="s">
        <v>432</v>
      </c>
      <c r="F233" t="s">
        <v>1221</v>
      </c>
      <c r="G233" t="s">
        <v>61</v>
      </c>
      <c r="H233" t="s">
        <v>1222</v>
      </c>
      <c r="I233" t="s">
        <v>531</v>
      </c>
    </row>
    <row r="234" spans="1:9">
      <c r="A234" t="s">
        <v>969</v>
      </c>
      <c r="B234">
        <v>5</v>
      </c>
      <c r="C234" t="s">
        <v>968</v>
      </c>
      <c r="D234" t="str">
        <f t="shared" si="7"/>
        <v>TO-s5-IMP</v>
      </c>
      <c r="E234" t="s">
        <v>433</v>
      </c>
      <c r="F234" t="s">
        <v>1223</v>
      </c>
      <c r="G234" t="s">
        <v>1224</v>
      </c>
      <c r="H234" t="s">
        <v>958</v>
      </c>
      <c r="I234" t="s">
        <v>534</v>
      </c>
    </row>
    <row r="235" spans="1:9">
      <c r="A235" t="s">
        <v>969</v>
      </c>
      <c r="B235">
        <v>5</v>
      </c>
      <c r="C235" t="s">
        <v>968</v>
      </c>
      <c r="D235" t="str">
        <f t="shared" si="7"/>
        <v>TO-s5-IMP</v>
      </c>
      <c r="E235" t="s">
        <v>434</v>
      </c>
      <c r="F235" t="s">
        <v>1225</v>
      </c>
      <c r="G235" t="s">
        <v>1226</v>
      </c>
      <c r="H235" t="s">
        <v>537</v>
      </c>
      <c r="I235" t="s">
        <v>538</v>
      </c>
    </row>
    <row r="236" spans="1:9">
      <c r="A236" t="s">
        <v>969</v>
      </c>
      <c r="B236">
        <v>6</v>
      </c>
      <c r="C236" t="s">
        <v>968</v>
      </c>
      <c r="D236" t="str">
        <f t="shared" si="7"/>
        <v>TO-s6-IMP</v>
      </c>
      <c r="E236" t="s">
        <v>430</v>
      </c>
      <c r="F236" t="s">
        <v>1227</v>
      </c>
      <c r="G236" t="s">
        <v>1228</v>
      </c>
      <c r="H236" t="s">
        <v>169</v>
      </c>
      <c r="I236" t="s">
        <v>541</v>
      </c>
    </row>
    <row r="237" spans="1:9">
      <c r="A237" t="s">
        <v>969</v>
      </c>
      <c r="B237">
        <v>6</v>
      </c>
      <c r="C237" t="s">
        <v>968</v>
      </c>
      <c r="D237" t="str">
        <f t="shared" si="7"/>
        <v>TO-s6-IMP</v>
      </c>
      <c r="E237" t="s">
        <v>424</v>
      </c>
      <c r="F237" t="s">
        <v>1229</v>
      </c>
      <c r="G237" t="s">
        <v>1230</v>
      </c>
      <c r="H237" t="s">
        <v>175</v>
      </c>
      <c r="I237" t="s">
        <v>544</v>
      </c>
    </row>
    <row r="238" spans="1:9">
      <c r="A238" t="s">
        <v>969</v>
      </c>
      <c r="B238">
        <v>6</v>
      </c>
      <c r="C238" t="s">
        <v>968</v>
      </c>
      <c r="D238" t="str">
        <f t="shared" si="7"/>
        <v>TO-s6-IMP</v>
      </c>
      <c r="E238" t="s">
        <v>431</v>
      </c>
      <c r="F238" t="s">
        <v>1231</v>
      </c>
      <c r="G238" t="s">
        <v>1232</v>
      </c>
      <c r="H238" t="s">
        <v>459</v>
      </c>
      <c r="I238" t="s">
        <v>547</v>
      </c>
    </row>
    <row r="239" spans="1:9">
      <c r="A239" t="s">
        <v>969</v>
      </c>
      <c r="B239">
        <v>6</v>
      </c>
      <c r="C239" t="s">
        <v>968</v>
      </c>
      <c r="D239" t="str">
        <f t="shared" si="7"/>
        <v>TO-s6-IMP</v>
      </c>
      <c r="E239" t="s">
        <v>432</v>
      </c>
      <c r="F239" t="s">
        <v>1233</v>
      </c>
      <c r="G239" t="s">
        <v>777</v>
      </c>
      <c r="H239" t="s">
        <v>550</v>
      </c>
      <c r="I239" t="s">
        <v>551</v>
      </c>
    </row>
    <row r="240" spans="1:9">
      <c r="A240" t="s">
        <v>969</v>
      </c>
      <c r="B240">
        <v>6</v>
      </c>
      <c r="C240" t="s">
        <v>968</v>
      </c>
      <c r="D240" t="str">
        <f t="shared" si="7"/>
        <v>TO-s6-IMP</v>
      </c>
      <c r="E240" t="s">
        <v>433</v>
      </c>
      <c r="F240" t="s">
        <v>1234</v>
      </c>
      <c r="G240" t="s">
        <v>1235</v>
      </c>
      <c r="H240" t="s">
        <v>554</v>
      </c>
      <c r="I240" t="s">
        <v>555</v>
      </c>
    </row>
    <row r="241" spans="1:9">
      <c r="A241" t="s">
        <v>969</v>
      </c>
      <c r="B241">
        <v>6</v>
      </c>
      <c r="C241" t="s">
        <v>968</v>
      </c>
      <c r="D241" t="str">
        <f t="shared" si="7"/>
        <v>TO-s6-IMP</v>
      </c>
      <c r="E241" t="s">
        <v>434</v>
      </c>
      <c r="F241" t="s">
        <v>1236</v>
      </c>
      <c r="G241" t="s">
        <v>1237</v>
      </c>
      <c r="H241" t="s">
        <v>87</v>
      </c>
      <c r="I241" t="s">
        <v>1238</v>
      </c>
    </row>
    <row r="242" spans="1:9">
      <c r="A242" t="s">
        <v>969</v>
      </c>
      <c r="B242">
        <v>7</v>
      </c>
      <c r="C242" t="s">
        <v>968</v>
      </c>
      <c r="D242" t="str">
        <f t="shared" si="7"/>
        <v>TO-s7-IMP</v>
      </c>
      <c r="E242" t="s">
        <v>430</v>
      </c>
      <c r="F242" t="s">
        <v>1239</v>
      </c>
      <c r="G242" t="s">
        <v>1240</v>
      </c>
      <c r="H242" t="s">
        <v>466</v>
      </c>
      <c r="I242" t="s">
        <v>561</v>
      </c>
    </row>
    <row r="243" spans="1:9">
      <c r="A243" t="s">
        <v>969</v>
      </c>
      <c r="B243">
        <v>7</v>
      </c>
      <c r="C243" t="s">
        <v>968</v>
      </c>
      <c r="D243" t="str">
        <f t="shared" si="7"/>
        <v>TO-s7-IMP</v>
      </c>
      <c r="E243" t="s">
        <v>424</v>
      </c>
      <c r="F243" t="s">
        <v>1241</v>
      </c>
      <c r="G243" t="s">
        <v>1242</v>
      </c>
      <c r="H243" t="s">
        <v>564</v>
      </c>
      <c r="I243" t="s">
        <v>565</v>
      </c>
    </row>
    <row r="244" spans="1:9">
      <c r="A244" t="s">
        <v>969</v>
      </c>
      <c r="B244">
        <v>7</v>
      </c>
      <c r="C244" t="s">
        <v>968</v>
      </c>
      <c r="D244" t="str">
        <f t="shared" si="7"/>
        <v>TO-s7-IMP</v>
      </c>
      <c r="E244" t="s">
        <v>431</v>
      </c>
      <c r="F244" t="s">
        <v>1243</v>
      </c>
      <c r="G244" t="s">
        <v>1244</v>
      </c>
      <c r="H244" t="s">
        <v>169</v>
      </c>
      <c r="I244" t="s">
        <v>568</v>
      </c>
    </row>
    <row r="245" spans="1:9">
      <c r="A245" t="s">
        <v>969</v>
      </c>
      <c r="B245">
        <v>7</v>
      </c>
      <c r="C245" t="s">
        <v>968</v>
      </c>
      <c r="D245" t="str">
        <f t="shared" si="7"/>
        <v>TO-s7-IMP</v>
      </c>
      <c r="E245" t="s">
        <v>432</v>
      </c>
      <c r="F245" t="s">
        <v>1245</v>
      </c>
      <c r="G245" t="s">
        <v>1086</v>
      </c>
      <c r="H245" t="s">
        <v>427</v>
      </c>
      <c r="I245" t="s">
        <v>571</v>
      </c>
    </row>
    <row r="246" spans="1:9">
      <c r="A246" t="s">
        <v>969</v>
      </c>
      <c r="B246">
        <v>7</v>
      </c>
      <c r="C246" t="s">
        <v>968</v>
      </c>
      <c r="D246" t="str">
        <f t="shared" si="7"/>
        <v>TO-s7-IMP</v>
      </c>
      <c r="E246" t="s">
        <v>433</v>
      </c>
      <c r="F246" t="s">
        <v>1246</v>
      </c>
      <c r="G246" t="s">
        <v>1247</v>
      </c>
      <c r="H246" t="s">
        <v>883</v>
      </c>
      <c r="I246" t="s">
        <v>574</v>
      </c>
    </row>
    <row r="247" spans="1:9">
      <c r="A247" t="s">
        <v>969</v>
      </c>
      <c r="B247">
        <v>7</v>
      </c>
      <c r="C247" t="s">
        <v>968</v>
      </c>
      <c r="D247" t="str">
        <f t="shared" si="7"/>
        <v>TO-s7-IMP</v>
      </c>
      <c r="E247" t="s">
        <v>434</v>
      </c>
      <c r="F247" t="s">
        <v>1248</v>
      </c>
      <c r="G247" t="s">
        <v>1249</v>
      </c>
      <c r="H247" t="s">
        <v>481</v>
      </c>
      <c r="I247" t="s">
        <v>577</v>
      </c>
    </row>
    <row r="248" spans="1:9">
      <c r="A248" t="s">
        <v>969</v>
      </c>
      <c r="B248">
        <v>8</v>
      </c>
      <c r="C248" t="s">
        <v>968</v>
      </c>
      <c r="D248" t="str">
        <f t="shared" si="7"/>
        <v>TO-s8-IMP</v>
      </c>
      <c r="E248" t="s">
        <v>430</v>
      </c>
      <c r="F248" t="s">
        <v>1250</v>
      </c>
      <c r="G248" t="s">
        <v>1224</v>
      </c>
      <c r="H248" t="s">
        <v>580</v>
      </c>
      <c r="I248" t="s">
        <v>581</v>
      </c>
    </row>
    <row r="249" spans="1:9">
      <c r="A249" t="s">
        <v>969</v>
      </c>
      <c r="B249">
        <v>8</v>
      </c>
      <c r="C249" t="s">
        <v>968</v>
      </c>
      <c r="D249" t="str">
        <f t="shared" si="7"/>
        <v>TO-s8-IMP</v>
      </c>
      <c r="E249" t="s">
        <v>424</v>
      </c>
      <c r="F249" t="s">
        <v>1251</v>
      </c>
      <c r="G249" t="s">
        <v>1252</v>
      </c>
      <c r="H249" t="s">
        <v>481</v>
      </c>
      <c r="I249" t="s">
        <v>584</v>
      </c>
    </row>
    <row r="250" spans="1:9">
      <c r="A250" t="s">
        <v>969</v>
      </c>
      <c r="B250">
        <v>8</v>
      </c>
      <c r="C250" t="s">
        <v>968</v>
      </c>
      <c r="D250" t="str">
        <f t="shared" si="7"/>
        <v>TO-s8-IMP</v>
      </c>
      <c r="E250" t="s">
        <v>431</v>
      </c>
      <c r="F250" t="s">
        <v>1253</v>
      </c>
      <c r="G250" t="s">
        <v>1254</v>
      </c>
      <c r="H250" t="s">
        <v>586</v>
      </c>
      <c r="I250" t="s">
        <v>587</v>
      </c>
    </row>
    <row r="251" spans="1:9">
      <c r="A251" t="s">
        <v>969</v>
      </c>
      <c r="B251">
        <v>8</v>
      </c>
      <c r="C251" t="s">
        <v>968</v>
      </c>
      <c r="D251" t="str">
        <f t="shared" si="7"/>
        <v>TO-s8-IMP</v>
      </c>
      <c r="E251" t="s">
        <v>432</v>
      </c>
      <c r="F251" t="s">
        <v>1255</v>
      </c>
      <c r="G251" t="s">
        <v>1256</v>
      </c>
      <c r="H251" t="s">
        <v>861</v>
      </c>
      <c r="I251" t="s">
        <v>591</v>
      </c>
    </row>
    <row r="252" spans="1:9">
      <c r="A252" t="s">
        <v>969</v>
      </c>
      <c r="B252">
        <v>8</v>
      </c>
      <c r="C252" t="s">
        <v>968</v>
      </c>
      <c r="D252" t="str">
        <f t="shared" si="7"/>
        <v>TO-s8-IMP</v>
      </c>
      <c r="E252" t="s">
        <v>433</v>
      </c>
      <c r="F252" t="s">
        <v>1257</v>
      </c>
      <c r="G252" t="s">
        <v>1258</v>
      </c>
      <c r="H252" t="s">
        <v>594</v>
      </c>
      <c r="I252" t="s">
        <v>595</v>
      </c>
    </row>
    <row r="253" spans="1:9">
      <c r="A253" t="s">
        <v>969</v>
      </c>
      <c r="B253">
        <v>8</v>
      </c>
      <c r="C253" t="s">
        <v>968</v>
      </c>
      <c r="D253" t="str">
        <f t="shared" si="7"/>
        <v>TO-s8-IMP</v>
      </c>
      <c r="E253" t="s">
        <v>434</v>
      </c>
      <c r="F253" t="s">
        <v>1259</v>
      </c>
      <c r="G253" t="s">
        <v>692</v>
      </c>
      <c r="H253" t="s">
        <v>1260</v>
      </c>
      <c r="I253" t="s">
        <v>599</v>
      </c>
    </row>
    <row r="254" spans="1:9">
      <c r="A254" t="s">
        <v>969</v>
      </c>
      <c r="B254">
        <v>9</v>
      </c>
      <c r="C254" t="s">
        <v>968</v>
      </c>
      <c r="D254" t="str">
        <f t="shared" si="7"/>
        <v>TO-s9-IMP</v>
      </c>
      <c r="E254" t="s">
        <v>430</v>
      </c>
      <c r="F254" t="s">
        <v>1261</v>
      </c>
      <c r="G254" t="s">
        <v>553</v>
      </c>
      <c r="H254" t="s">
        <v>602</v>
      </c>
      <c r="I254" t="s">
        <v>603</v>
      </c>
    </row>
    <row r="255" spans="1:9">
      <c r="A255" t="s">
        <v>969</v>
      </c>
      <c r="B255">
        <v>9</v>
      </c>
      <c r="C255" t="s">
        <v>968</v>
      </c>
      <c r="D255" t="str">
        <f t="shared" si="7"/>
        <v>TO-s9-IMP</v>
      </c>
      <c r="E255" t="s">
        <v>424</v>
      </c>
      <c r="F255" t="s">
        <v>1262</v>
      </c>
      <c r="G255" t="s">
        <v>1263</v>
      </c>
      <c r="H255" t="s">
        <v>459</v>
      </c>
      <c r="I255" t="s">
        <v>606</v>
      </c>
    </row>
    <row r="256" spans="1:9">
      <c r="A256" t="s">
        <v>969</v>
      </c>
      <c r="B256">
        <v>9</v>
      </c>
      <c r="C256" t="s">
        <v>968</v>
      </c>
      <c r="D256" t="str">
        <f t="shared" si="7"/>
        <v>TO-s9-IMP</v>
      </c>
      <c r="E256" t="s">
        <v>431</v>
      </c>
      <c r="F256" t="s">
        <v>1264</v>
      </c>
      <c r="G256" t="s">
        <v>1265</v>
      </c>
      <c r="H256" t="s">
        <v>120</v>
      </c>
      <c r="I256" t="s">
        <v>609</v>
      </c>
    </row>
    <row r="257" spans="1:9">
      <c r="A257" t="s">
        <v>969</v>
      </c>
      <c r="B257">
        <v>9</v>
      </c>
      <c r="C257" t="s">
        <v>968</v>
      </c>
      <c r="D257" t="str">
        <f t="shared" si="7"/>
        <v>TO-s9-IMP</v>
      </c>
      <c r="E257" t="s">
        <v>432</v>
      </c>
      <c r="F257" t="s">
        <v>1266</v>
      </c>
      <c r="G257" t="s">
        <v>61</v>
      </c>
      <c r="H257" t="s">
        <v>466</v>
      </c>
      <c r="I257" t="s">
        <v>612</v>
      </c>
    </row>
    <row r="258" spans="1:9">
      <c r="A258" t="s">
        <v>969</v>
      </c>
      <c r="B258">
        <v>9</v>
      </c>
      <c r="C258" t="s">
        <v>968</v>
      </c>
      <c r="D258" t="str">
        <f t="shared" si="7"/>
        <v>TO-s9-IMP</v>
      </c>
      <c r="E258" t="s">
        <v>433</v>
      </c>
      <c r="F258" t="s">
        <v>1267</v>
      </c>
      <c r="G258" t="s">
        <v>1268</v>
      </c>
      <c r="H258" t="s">
        <v>175</v>
      </c>
      <c r="I258" t="s">
        <v>615</v>
      </c>
    </row>
    <row r="259" spans="1:9">
      <c r="A259" t="s">
        <v>969</v>
      </c>
      <c r="B259">
        <v>9</v>
      </c>
      <c r="C259" t="s">
        <v>968</v>
      </c>
      <c r="D259" t="str">
        <f t="shared" si="7"/>
        <v>TO-s9-IMP</v>
      </c>
      <c r="E259" t="s">
        <v>434</v>
      </c>
      <c r="F259" t="s">
        <v>1269</v>
      </c>
      <c r="G259" t="s">
        <v>1270</v>
      </c>
      <c r="H259" t="s">
        <v>618</v>
      </c>
      <c r="I259" t="s">
        <v>619</v>
      </c>
    </row>
    <row r="260" spans="1:9">
      <c r="A260" t="s">
        <v>969</v>
      </c>
      <c r="B260">
        <v>10</v>
      </c>
      <c r="C260" t="s">
        <v>968</v>
      </c>
      <c r="D260" t="str">
        <f t="shared" si="7"/>
        <v>TO-s10-IMP</v>
      </c>
      <c r="E260" t="s">
        <v>430</v>
      </c>
      <c r="F260" t="s">
        <v>1271</v>
      </c>
      <c r="G260" t="s">
        <v>1272</v>
      </c>
      <c r="H260" t="s">
        <v>1273</v>
      </c>
      <c r="I260" t="s">
        <v>623</v>
      </c>
    </row>
    <row r="261" spans="1:9">
      <c r="A261" t="s">
        <v>969</v>
      </c>
      <c r="B261">
        <v>10</v>
      </c>
      <c r="C261" t="s">
        <v>968</v>
      </c>
      <c r="D261" t="str">
        <f t="shared" si="7"/>
        <v>TO-s10-IMP</v>
      </c>
      <c r="E261" t="s">
        <v>424</v>
      </c>
      <c r="F261" t="s">
        <v>1274</v>
      </c>
      <c r="G261" t="s">
        <v>1275</v>
      </c>
      <c r="H261" t="s">
        <v>626</v>
      </c>
      <c r="I261" t="s">
        <v>1276</v>
      </c>
    </row>
    <row r="262" spans="1:9">
      <c r="A262" t="s">
        <v>969</v>
      </c>
      <c r="B262">
        <v>10</v>
      </c>
      <c r="C262" t="s">
        <v>968</v>
      </c>
      <c r="D262" t="str">
        <f t="shared" si="7"/>
        <v>TO-s10-IMP</v>
      </c>
      <c r="E262" t="s">
        <v>431</v>
      </c>
      <c r="F262" t="s">
        <v>1277</v>
      </c>
      <c r="G262" t="s">
        <v>1278</v>
      </c>
      <c r="H262" t="s">
        <v>629</v>
      </c>
      <c r="I262" t="s">
        <v>630</v>
      </c>
    </row>
    <row r="263" spans="1:9">
      <c r="A263" t="s">
        <v>969</v>
      </c>
      <c r="B263">
        <v>10</v>
      </c>
      <c r="C263" t="s">
        <v>968</v>
      </c>
      <c r="D263" t="str">
        <f t="shared" si="7"/>
        <v>TO-s10-IMP</v>
      </c>
      <c r="E263" t="s">
        <v>432</v>
      </c>
      <c r="F263" t="s">
        <v>1279</v>
      </c>
      <c r="G263" t="s">
        <v>821</v>
      </c>
      <c r="H263" t="s">
        <v>133</v>
      </c>
      <c r="I263" t="s">
        <v>633</v>
      </c>
    </row>
    <row r="264" spans="1:9">
      <c r="A264" t="s">
        <v>969</v>
      </c>
      <c r="B264">
        <v>10</v>
      </c>
      <c r="C264" t="s">
        <v>968</v>
      </c>
      <c r="D264" t="str">
        <f t="shared" si="7"/>
        <v>TO-s10-IMP</v>
      </c>
      <c r="E264" t="s">
        <v>433</v>
      </c>
      <c r="F264" t="s">
        <v>1280</v>
      </c>
      <c r="G264" t="s">
        <v>1281</v>
      </c>
      <c r="H264" t="s">
        <v>1121</v>
      </c>
      <c r="I264" t="s">
        <v>637</v>
      </c>
    </row>
    <row r="265" spans="1:9">
      <c r="A265" t="s">
        <v>969</v>
      </c>
      <c r="B265">
        <v>10</v>
      </c>
      <c r="C265" t="s">
        <v>968</v>
      </c>
      <c r="D265" t="str">
        <f t="shared" si="7"/>
        <v>TO-s10-IMP</v>
      </c>
      <c r="E265" t="s">
        <v>434</v>
      </c>
      <c r="F265" t="s">
        <v>1282</v>
      </c>
      <c r="G265" t="s">
        <v>573</v>
      </c>
      <c r="H265" t="s">
        <v>522</v>
      </c>
      <c r="I265" t="s">
        <v>641</v>
      </c>
    </row>
    <row r="266" spans="1:9">
      <c r="A266" t="s">
        <v>969</v>
      </c>
      <c r="B266">
        <v>11</v>
      </c>
      <c r="C266" t="s">
        <v>968</v>
      </c>
      <c r="D266" t="str">
        <f t="shared" si="7"/>
        <v>TO-s11-IMP</v>
      </c>
      <c r="E266" t="s">
        <v>430</v>
      </c>
      <c r="F266" t="s">
        <v>1283</v>
      </c>
      <c r="G266" t="s">
        <v>1284</v>
      </c>
      <c r="H266" t="s">
        <v>488</v>
      </c>
      <c r="I266" t="s">
        <v>644</v>
      </c>
    </row>
    <row r="267" spans="1:9">
      <c r="A267" t="s">
        <v>969</v>
      </c>
      <c r="B267">
        <v>11</v>
      </c>
      <c r="C267" t="s">
        <v>968</v>
      </c>
      <c r="D267" t="str">
        <f t="shared" si="7"/>
        <v>TO-s11-IMP</v>
      </c>
      <c r="E267" t="s">
        <v>424</v>
      </c>
      <c r="F267" t="s">
        <v>1285</v>
      </c>
      <c r="G267" t="s">
        <v>1286</v>
      </c>
      <c r="H267" t="s">
        <v>133</v>
      </c>
      <c r="I267" t="s">
        <v>647</v>
      </c>
    </row>
    <row r="268" spans="1:9">
      <c r="A268" t="s">
        <v>969</v>
      </c>
      <c r="B268">
        <v>11</v>
      </c>
      <c r="C268" t="s">
        <v>968</v>
      </c>
      <c r="D268" t="str">
        <f t="shared" si="7"/>
        <v>TO-s11-IMP</v>
      </c>
      <c r="E268" t="s">
        <v>431</v>
      </c>
      <c r="F268" t="s">
        <v>1287</v>
      </c>
      <c r="G268" t="s">
        <v>1288</v>
      </c>
      <c r="H268" t="s">
        <v>175</v>
      </c>
      <c r="I268" t="s">
        <v>650</v>
      </c>
    </row>
    <row r="269" spans="1:9">
      <c r="A269" t="s">
        <v>969</v>
      </c>
      <c r="B269">
        <v>11</v>
      </c>
      <c r="C269" t="s">
        <v>968</v>
      </c>
      <c r="D269" t="str">
        <f t="shared" si="7"/>
        <v>TO-s11-IMP</v>
      </c>
      <c r="E269" t="s">
        <v>432</v>
      </c>
      <c r="F269" t="s">
        <v>1289</v>
      </c>
      <c r="G269" t="s">
        <v>1290</v>
      </c>
      <c r="H269" t="s">
        <v>954</v>
      </c>
      <c r="I269" t="s">
        <v>654</v>
      </c>
    </row>
    <row r="270" spans="1:9">
      <c r="A270" t="s">
        <v>969</v>
      </c>
      <c r="B270">
        <v>11</v>
      </c>
      <c r="C270" t="s">
        <v>968</v>
      </c>
      <c r="D270" t="str">
        <f t="shared" si="7"/>
        <v>TO-s11-IMP</v>
      </c>
      <c r="E270" t="s">
        <v>433</v>
      </c>
      <c r="F270" t="s">
        <v>1291</v>
      </c>
      <c r="G270" t="s">
        <v>549</v>
      </c>
      <c r="H270" t="s">
        <v>618</v>
      </c>
      <c r="I270" t="s">
        <v>657</v>
      </c>
    </row>
    <row r="271" spans="1:9">
      <c r="A271" t="s">
        <v>969</v>
      </c>
      <c r="B271">
        <v>11</v>
      </c>
      <c r="C271" t="s">
        <v>968</v>
      </c>
      <c r="D271" t="str">
        <f t="shared" si="7"/>
        <v>TO-s11-IMP</v>
      </c>
      <c r="E271" t="s">
        <v>434</v>
      </c>
      <c r="F271" t="s">
        <v>1292</v>
      </c>
      <c r="G271" t="s">
        <v>1293</v>
      </c>
      <c r="H271" t="s">
        <v>580</v>
      </c>
      <c r="I271" t="s">
        <v>389</v>
      </c>
    </row>
    <row r="272" spans="1:9">
      <c r="A272" t="s">
        <v>969</v>
      </c>
      <c r="B272">
        <v>12</v>
      </c>
      <c r="C272" t="s">
        <v>968</v>
      </c>
      <c r="D272" t="str">
        <f t="shared" si="7"/>
        <v>TO-s12-IMP</v>
      </c>
      <c r="E272" t="s">
        <v>430</v>
      </c>
      <c r="F272" t="s">
        <v>1294</v>
      </c>
      <c r="G272" t="s">
        <v>1295</v>
      </c>
      <c r="H272" t="s">
        <v>455</v>
      </c>
      <c r="I272" t="s">
        <v>662</v>
      </c>
    </row>
    <row r="273" spans="1:9">
      <c r="A273" t="s">
        <v>969</v>
      </c>
      <c r="B273">
        <v>12</v>
      </c>
      <c r="C273" t="s">
        <v>968</v>
      </c>
      <c r="D273" t="str">
        <f t="shared" si="7"/>
        <v>TO-s12-IMP</v>
      </c>
      <c r="E273" t="s">
        <v>424</v>
      </c>
      <c r="F273" t="s">
        <v>1296</v>
      </c>
      <c r="G273" t="s">
        <v>1297</v>
      </c>
      <c r="H273" t="s">
        <v>861</v>
      </c>
      <c r="I273" t="s">
        <v>665</v>
      </c>
    </row>
    <row r="274" spans="1:9">
      <c r="A274" t="s">
        <v>969</v>
      </c>
      <c r="B274">
        <v>12</v>
      </c>
      <c r="C274" t="s">
        <v>968</v>
      </c>
      <c r="D274" t="str">
        <f t="shared" si="7"/>
        <v>TO-s12-IMP</v>
      </c>
      <c r="E274" t="s">
        <v>431</v>
      </c>
      <c r="F274" t="s">
        <v>1298</v>
      </c>
      <c r="G274" t="s">
        <v>1175</v>
      </c>
      <c r="H274" t="s">
        <v>1299</v>
      </c>
      <c r="I274" t="s">
        <v>669</v>
      </c>
    </row>
    <row r="275" spans="1:9">
      <c r="A275" t="s">
        <v>969</v>
      </c>
      <c r="B275">
        <v>12</v>
      </c>
      <c r="C275" t="s">
        <v>968</v>
      </c>
      <c r="D275" t="str">
        <f t="shared" si="7"/>
        <v>TO-s12-IMP</v>
      </c>
      <c r="E275" t="s">
        <v>432</v>
      </c>
      <c r="F275" t="s">
        <v>1300</v>
      </c>
      <c r="G275" t="s">
        <v>1301</v>
      </c>
      <c r="H275" t="s">
        <v>175</v>
      </c>
      <c r="I275" t="s">
        <v>672</v>
      </c>
    </row>
    <row r="276" spans="1:9">
      <c r="A276" t="s">
        <v>969</v>
      </c>
      <c r="B276">
        <v>12</v>
      </c>
      <c r="C276" t="s">
        <v>968</v>
      </c>
      <c r="D276" t="str">
        <f t="shared" ref="D276:D325" si="8">_xlfn.CONCAT(A276,"-s",B276,"-",C276)</f>
        <v>TO-s12-IMP</v>
      </c>
      <c r="E276" t="s">
        <v>433</v>
      </c>
      <c r="F276" t="s">
        <v>1302</v>
      </c>
      <c r="G276" t="s">
        <v>61</v>
      </c>
      <c r="H276" t="s">
        <v>502</v>
      </c>
      <c r="I276" t="s">
        <v>675</v>
      </c>
    </row>
    <row r="277" spans="1:9">
      <c r="A277" t="s">
        <v>969</v>
      </c>
      <c r="B277">
        <v>12</v>
      </c>
      <c r="C277" t="s">
        <v>968</v>
      </c>
      <c r="D277" t="str">
        <f t="shared" si="8"/>
        <v>TO-s12-IMP</v>
      </c>
      <c r="E277" t="s">
        <v>434</v>
      </c>
      <c r="F277" t="s">
        <v>1303</v>
      </c>
      <c r="G277" t="s">
        <v>1304</v>
      </c>
      <c r="H277" t="s">
        <v>502</v>
      </c>
      <c r="I277" t="s">
        <v>678</v>
      </c>
    </row>
    <row r="278" spans="1:9">
      <c r="A278" t="s">
        <v>969</v>
      </c>
      <c r="B278">
        <v>13</v>
      </c>
      <c r="C278" t="s">
        <v>968</v>
      </c>
      <c r="D278" t="str">
        <f t="shared" si="8"/>
        <v>TO-s13-IMP</v>
      </c>
      <c r="E278" t="s">
        <v>430</v>
      </c>
      <c r="F278" t="s">
        <v>1305</v>
      </c>
      <c r="G278" t="s">
        <v>1306</v>
      </c>
      <c r="H278" t="s">
        <v>1307</v>
      </c>
      <c r="I278" t="s">
        <v>682</v>
      </c>
    </row>
    <row r="279" spans="1:9">
      <c r="A279" t="s">
        <v>969</v>
      </c>
      <c r="B279">
        <v>13</v>
      </c>
      <c r="C279" t="s">
        <v>968</v>
      </c>
      <c r="D279" t="str">
        <f t="shared" si="8"/>
        <v>TO-s13-IMP</v>
      </c>
      <c r="E279" t="s">
        <v>424</v>
      </c>
      <c r="F279" t="s">
        <v>1308</v>
      </c>
      <c r="G279" t="s">
        <v>1309</v>
      </c>
      <c r="H279" t="s">
        <v>685</v>
      </c>
      <c r="I279" t="s">
        <v>686</v>
      </c>
    </row>
    <row r="280" spans="1:9">
      <c r="A280" t="s">
        <v>969</v>
      </c>
      <c r="B280">
        <v>13</v>
      </c>
      <c r="C280" t="s">
        <v>968</v>
      </c>
      <c r="D280" t="str">
        <f t="shared" si="8"/>
        <v>TO-s13-IMP</v>
      </c>
      <c r="E280" t="s">
        <v>431</v>
      </c>
      <c r="F280" t="s">
        <v>1310</v>
      </c>
      <c r="G280" t="s">
        <v>1311</v>
      </c>
      <c r="H280" t="s">
        <v>689</v>
      </c>
      <c r="I280" t="s">
        <v>690</v>
      </c>
    </row>
    <row r="281" spans="1:9">
      <c r="A281" t="s">
        <v>969</v>
      </c>
      <c r="B281">
        <v>13</v>
      </c>
      <c r="C281" t="s">
        <v>968</v>
      </c>
      <c r="D281" t="str">
        <f t="shared" si="8"/>
        <v>TO-s13-IMP</v>
      </c>
      <c r="E281" t="s">
        <v>432</v>
      </c>
      <c r="F281" t="s">
        <v>1312</v>
      </c>
      <c r="G281" t="s">
        <v>1313</v>
      </c>
      <c r="H281" t="s">
        <v>470</v>
      </c>
      <c r="I281" t="s">
        <v>693</v>
      </c>
    </row>
    <row r="282" spans="1:9">
      <c r="A282" t="s">
        <v>969</v>
      </c>
      <c r="B282">
        <v>13</v>
      </c>
      <c r="C282" t="s">
        <v>968</v>
      </c>
      <c r="D282" t="str">
        <f t="shared" si="8"/>
        <v>TO-s13-IMP</v>
      </c>
      <c r="E282" t="s">
        <v>433</v>
      </c>
      <c r="F282" s="5" t="s">
        <v>1314</v>
      </c>
      <c r="G282" t="s">
        <v>1301</v>
      </c>
      <c r="H282" t="s">
        <v>696</v>
      </c>
      <c r="I282" t="s">
        <v>391</v>
      </c>
    </row>
    <row r="283" spans="1:9">
      <c r="A283" t="s">
        <v>969</v>
      </c>
      <c r="B283">
        <v>13</v>
      </c>
      <c r="C283" t="s">
        <v>968</v>
      </c>
      <c r="D283" t="str">
        <f t="shared" si="8"/>
        <v>TO-s13-IMP</v>
      </c>
      <c r="E283" t="s">
        <v>434</v>
      </c>
      <c r="F283" t="s">
        <v>1315</v>
      </c>
      <c r="G283" t="s">
        <v>1316</v>
      </c>
      <c r="H283" t="s">
        <v>438</v>
      </c>
      <c r="I283" t="s">
        <v>699</v>
      </c>
    </row>
    <row r="284" spans="1:9">
      <c r="A284" t="s">
        <v>969</v>
      </c>
      <c r="B284">
        <v>14</v>
      </c>
      <c r="C284" t="s">
        <v>968</v>
      </c>
      <c r="D284" t="str">
        <f t="shared" si="8"/>
        <v>TO-s14-IMP</v>
      </c>
      <c r="E284" t="s">
        <v>430</v>
      </c>
      <c r="F284" t="s">
        <v>1317</v>
      </c>
      <c r="G284" t="s">
        <v>1318</v>
      </c>
      <c r="H284" t="s">
        <v>466</v>
      </c>
      <c r="I284" t="s">
        <v>702</v>
      </c>
    </row>
    <row r="285" spans="1:9">
      <c r="A285" t="s">
        <v>969</v>
      </c>
      <c r="B285">
        <v>14</v>
      </c>
      <c r="C285" t="s">
        <v>968</v>
      </c>
      <c r="D285" t="str">
        <f t="shared" si="8"/>
        <v>TO-s14-IMP</v>
      </c>
      <c r="E285" t="s">
        <v>424</v>
      </c>
      <c r="F285" t="s">
        <v>1319</v>
      </c>
      <c r="G285" t="s">
        <v>1320</v>
      </c>
      <c r="H285" t="s">
        <v>163</v>
      </c>
      <c r="I285" t="s">
        <v>705</v>
      </c>
    </row>
    <row r="286" spans="1:9">
      <c r="A286" t="s">
        <v>969</v>
      </c>
      <c r="B286">
        <v>14</v>
      </c>
      <c r="C286" t="s">
        <v>968</v>
      </c>
      <c r="D286" t="str">
        <f t="shared" si="8"/>
        <v>TO-s14-IMP</v>
      </c>
      <c r="E286" t="s">
        <v>431</v>
      </c>
      <c r="F286" t="s">
        <v>1321</v>
      </c>
      <c r="G286" t="s">
        <v>1322</v>
      </c>
      <c r="H286" t="s">
        <v>422</v>
      </c>
      <c r="I286" t="s">
        <v>708</v>
      </c>
    </row>
    <row r="287" spans="1:9">
      <c r="A287" t="s">
        <v>969</v>
      </c>
      <c r="B287">
        <v>14</v>
      </c>
      <c r="C287" t="s">
        <v>968</v>
      </c>
      <c r="D287" t="str">
        <f t="shared" si="8"/>
        <v>TO-s14-IMP</v>
      </c>
      <c r="E287" t="s">
        <v>432</v>
      </c>
      <c r="F287" t="s">
        <v>1323</v>
      </c>
      <c r="G287" t="s">
        <v>1324</v>
      </c>
      <c r="H287" t="s">
        <v>422</v>
      </c>
      <c r="I287" t="s">
        <v>711</v>
      </c>
    </row>
    <row r="288" spans="1:9">
      <c r="A288" t="s">
        <v>969</v>
      </c>
      <c r="B288">
        <v>14</v>
      </c>
      <c r="C288" t="s">
        <v>968</v>
      </c>
      <c r="D288" t="str">
        <f t="shared" si="8"/>
        <v>TO-s14-IMP</v>
      </c>
      <c r="E288" t="s">
        <v>433</v>
      </c>
      <c r="F288" t="s">
        <v>1325</v>
      </c>
      <c r="G288" t="s">
        <v>1326</v>
      </c>
      <c r="H288" t="s">
        <v>1327</v>
      </c>
      <c r="I288" t="s">
        <v>715</v>
      </c>
    </row>
    <row r="289" spans="1:9">
      <c r="A289" t="s">
        <v>969</v>
      </c>
      <c r="B289">
        <v>14</v>
      </c>
      <c r="C289" t="s">
        <v>968</v>
      </c>
      <c r="D289" t="str">
        <f t="shared" si="8"/>
        <v>TO-s14-IMP</v>
      </c>
      <c r="E289" t="s">
        <v>434</v>
      </c>
      <c r="F289" t="s">
        <v>1328</v>
      </c>
      <c r="G289" t="s">
        <v>1329</v>
      </c>
      <c r="H289" t="s">
        <v>718</v>
      </c>
      <c r="I289" t="s">
        <v>719</v>
      </c>
    </row>
    <row r="290" spans="1:9">
      <c r="A290" t="s">
        <v>969</v>
      </c>
      <c r="B290">
        <v>15</v>
      </c>
      <c r="C290" t="s">
        <v>968</v>
      </c>
      <c r="D290" t="str">
        <f t="shared" si="8"/>
        <v>TO-s15-IMP</v>
      </c>
      <c r="E290" t="s">
        <v>430</v>
      </c>
      <c r="F290" t="s">
        <v>1330</v>
      </c>
      <c r="G290" t="s">
        <v>1331</v>
      </c>
      <c r="H290" t="s">
        <v>721</v>
      </c>
      <c r="I290" t="s">
        <v>722</v>
      </c>
    </row>
    <row r="291" spans="1:9">
      <c r="A291" t="s">
        <v>969</v>
      </c>
      <c r="B291">
        <v>15</v>
      </c>
      <c r="C291" t="s">
        <v>968</v>
      </c>
      <c r="D291" t="str">
        <f t="shared" si="8"/>
        <v>TO-s15-IMP</v>
      </c>
      <c r="E291" t="s">
        <v>424</v>
      </c>
      <c r="F291" t="s">
        <v>1332</v>
      </c>
      <c r="G291" t="s">
        <v>1333</v>
      </c>
      <c r="H291" t="s">
        <v>939</v>
      </c>
      <c r="I291" t="s">
        <v>725</v>
      </c>
    </row>
    <row r="292" spans="1:9">
      <c r="A292" t="s">
        <v>969</v>
      </c>
      <c r="B292">
        <v>15</v>
      </c>
      <c r="C292" t="s">
        <v>968</v>
      </c>
      <c r="D292" t="str">
        <f t="shared" si="8"/>
        <v>TO-s15-IMP</v>
      </c>
      <c r="E292" t="s">
        <v>431</v>
      </c>
      <c r="F292" t="s">
        <v>1334</v>
      </c>
      <c r="G292" t="s">
        <v>1335</v>
      </c>
      <c r="H292" t="s">
        <v>481</v>
      </c>
      <c r="I292" t="s">
        <v>728</v>
      </c>
    </row>
    <row r="293" spans="1:9">
      <c r="A293" t="s">
        <v>969</v>
      </c>
      <c r="B293">
        <v>15</v>
      </c>
      <c r="C293" t="s">
        <v>968</v>
      </c>
      <c r="D293" t="str">
        <f t="shared" si="8"/>
        <v>TO-s15-IMP</v>
      </c>
      <c r="E293" t="s">
        <v>432</v>
      </c>
      <c r="F293" t="s">
        <v>1336</v>
      </c>
      <c r="G293" t="s">
        <v>1337</v>
      </c>
      <c r="H293" t="s">
        <v>696</v>
      </c>
      <c r="I293" t="s">
        <v>731</v>
      </c>
    </row>
    <row r="294" spans="1:9">
      <c r="A294" t="s">
        <v>969</v>
      </c>
      <c r="B294">
        <v>15</v>
      </c>
      <c r="C294" t="s">
        <v>968</v>
      </c>
      <c r="D294" t="str">
        <f t="shared" si="8"/>
        <v>TO-s15-IMP</v>
      </c>
      <c r="E294" t="s">
        <v>433</v>
      </c>
      <c r="F294" t="s">
        <v>1338</v>
      </c>
      <c r="G294" t="s">
        <v>131</v>
      </c>
      <c r="H294" t="s">
        <v>438</v>
      </c>
      <c r="I294" t="s">
        <v>734</v>
      </c>
    </row>
    <row r="295" spans="1:9">
      <c r="A295" t="s">
        <v>969</v>
      </c>
      <c r="B295">
        <v>15</v>
      </c>
      <c r="C295" t="s">
        <v>968</v>
      </c>
      <c r="D295" t="str">
        <f t="shared" si="8"/>
        <v>TO-s15-IMP</v>
      </c>
      <c r="E295" t="s">
        <v>434</v>
      </c>
      <c r="F295" t="s">
        <v>1339</v>
      </c>
      <c r="G295" t="s">
        <v>1340</v>
      </c>
      <c r="H295" t="s">
        <v>470</v>
      </c>
      <c r="I295" t="s">
        <v>737</v>
      </c>
    </row>
    <row r="296" spans="1:9">
      <c r="A296" t="s">
        <v>969</v>
      </c>
      <c r="B296">
        <v>16</v>
      </c>
      <c r="C296" t="s">
        <v>968</v>
      </c>
      <c r="D296" t="str">
        <f t="shared" si="8"/>
        <v>TO-s16-IMP</v>
      </c>
      <c r="E296" t="s">
        <v>430</v>
      </c>
      <c r="F296" t="s">
        <v>1341</v>
      </c>
      <c r="G296" t="s">
        <v>1342</v>
      </c>
      <c r="H296" t="s">
        <v>939</v>
      </c>
      <c r="I296" t="s">
        <v>740</v>
      </c>
    </row>
    <row r="297" spans="1:9">
      <c r="A297" t="s">
        <v>969</v>
      </c>
      <c r="B297">
        <v>16</v>
      </c>
      <c r="C297" t="s">
        <v>968</v>
      </c>
      <c r="D297" t="str">
        <f t="shared" si="8"/>
        <v>TO-s16-IMP</v>
      </c>
      <c r="E297" t="s">
        <v>424</v>
      </c>
      <c r="F297" t="s">
        <v>1343</v>
      </c>
      <c r="G297" t="s">
        <v>1344</v>
      </c>
      <c r="H297" t="s">
        <v>175</v>
      </c>
      <c r="I297" t="s">
        <v>743</v>
      </c>
    </row>
    <row r="298" spans="1:9">
      <c r="A298" t="s">
        <v>969</v>
      </c>
      <c r="B298">
        <v>16</v>
      </c>
      <c r="C298" t="s">
        <v>968</v>
      </c>
      <c r="D298" t="str">
        <f t="shared" si="8"/>
        <v>TO-s16-IMP</v>
      </c>
      <c r="E298" t="s">
        <v>431</v>
      </c>
      <c r="F298" t="s">
        <v>1345</v>
      </c>
      <c r="G298" t="s">
        <v>1346</v>
      </c>
      <c r="H298" t="s">
        <v>291</v>
      </c>
      <c r="I298" t="s">
        <v>396</v>
      </c>
    </row>
    <row r="299" spans="1:9">
      <c r="A299" t="s">
        <v>969</v>
      </c>
      <c r="B299">
        <v>16</v>
      </c>
      <c r="C299" t="s">
        <v>968</v>
      </c>
      <c r="D299" t="str">
        <f t="shared" si="8"/>
        <v>TO-s16-IMP</v>
      </c>
      <c r="E299" t="s">
        <v>432</v>
      </c>
      <c r="F299" t="s">
        <v>1347</v>
      </c>
      <c r="G299" t="s">
        <v>203</v>
      </c>
      <c r="H299" t="s">
        <v>481</v>
      </c>
      <c r="I299" t="s">
        <v>748</v>
      </c>
    </row>
    <row r="300" spans="1:9">
      <c r="A300" t="s">
        <v>969</v>
      </c>
      <c r="B300">
        <v>16</v>
      </c>
      <c r="C300" t="s">
        <v>968</v>
      </c>
      <c r="D300" t="str">
        <f t="shared" si="8"/>
        <v>TO-s16-IMP</v>
      </c>
      <c r="E300" t="s">
        <v>433</v>
      </c>
      <c r="F300" t="s">
        <v>1348</v>
      </c>
      <c r="G300" t="s">
        <v>1349</v>
      </c>
      <c r="H300" t="s">
        <v>512</v>
      </c>
      <c r="I300" t="s">
        <v>751</v>
      </c>
    </row>
    <row r="301" spans="1:9">
      <c r="A301" t="s">
        <v>969</v>
      </c>
      <c r="B301">
        <v>16</v>
      </c>
      <c r="C301" t="s">
        <v>968</v>
      </c>
      <c r="D301" t="str">
        <f t="shared" si="8"/>
        <v>TO-s16-IMP</v>
      </c>
      <c r="E301" t="s">
        <v>434</v>
      </c>
      <c r="F301" t="s">
        <v>1350</v>
      </c>
      <c r="G301" t="s">
        <v>1351</v>
      </c>
      <c r="H301" t="s">
        <v>1222</v>
      </c>
      <c r="I301" t="s">
        <v>398</v>
      </c>
    </row>
    <row r="302" spans="1:9">
      <c r="A302" t="s">
        <v>969</v>
      </c>
      <c r="B302">
        <v>17</v>
      </c>
      <c r="C302" t="s">
        <v>968</v>
      </c>
      <c r="D302" t="str">
        <f t="shared" si="8"/>
        <v>TO-s17-IMP</v>
      </c>
      <c r="E302" t="s">
        <v>430</v>
      </c>
      <c r="F302" t="s">
        <v>1352</v>
      </c>
      <c r="G302" t="s">
        <v>1353</v>
      </c>
      <c r="H302" t="s">
        <v>689</v>
      </c>
      <c r="I302" t="s">
        <v>756</v>
      </c>
    </row>
    <row r="303" spans="1:9">
      <c r="A303" t="s">
        <v>969</v>
      </c>
      <c r="B303">
        <v>17</v>
      </c>
      <c r="C303" t="s">
        <v>968</v>
      </c>
      <c r="D303" t="str">
        <f t="shared" si="8"/>
        <v>TO-s17-IMP</v>
      </c>
      <c r="E303" t="s">
        <v>424</v>
      </c>
      <c r="F303" t="s">
        <v>1354</v>
      </c>
      <c r="G303" t="s">
        <v>1355</v>
      </c>
      <c r="H303" t="s">
        <v>291</v>
      </c>
      <c r="I303" t="s">
        <v>759</v>
      </c>
    </row>
    <row r="304" spans="1:9">
      <c r="A304" t="s">
        <v>969</v>
      </c>
      <c r="B304">
        <v>17</v>
      </c>
      <c r="C304" t="s">
        <v>968</v>
      </c>
      <c r="D304" t="str">
        <f t="shared" si="8"/>
        <v>TO-s17-IMP</v>
      </c>
      <c r="E304" t="s">
        <v>431</v>
      </c>
      <c r="F304" t="s">
        <v>1356</v>
      </c>
      <c r="G304" t="s">
        <v>1357</v>
      </c>
      <c r="H304" t="s">
        <v>554</v>
      </c>
      <c r="I304" t="s">
        <v>400</v>
      </c>
    </row>
    <row r="305" spans="1:9">
      <c r="A305" t="s">
        <v>969</v>
      </c>
      <c r="B305">
        <v>17</v>
      </c>
      <c r="C305" t="s">
        <v>968</v>
      </c>
      <c r="D305" t="str">
        <f t="shared" si="8"/>
        <v>TO-s17-IMP</v>
      </c>
      <c r="E305" t="s">
        <v>432</v>
      </c>
      <c r="F305" t="s">
        <v>1358</v>
      </c>
      <c r="G305" t="s">
        <v>1359</v>
      </c>
      <c r="H305" t="s">
        <v>958</v>
      </c>
      <c r="I305" t="s">
        <v>765</v>
      </c>
    </row>
    <row r="306" spans="1:9">
      <c r="A306" t="s">
        <v>969</v>
      </c>
      <c r="B306">
        <v>17</v>
      </c>
      <c r="C306" t="s">
        <v>968</v>
      </c>
      <c r="D306" t="str">
        <f t="shared" si="8"/>
        <v>TO-s17-IMP</v>
      </c>
      <c r="E306" t="s">
        <v>433</v>
      </c>
      <c r="F306" t="s">
        <v>1360</v>
      </c>
      <c r="G306" t="s">
        <v>1361</v>
      </c>
      <c r="H306" t="s">
        <v>768</v>
      </c>
      <c r="I306" t="s">
        <v>769</v>
      </c>
    </row>
    <row r="307" spans="1:9">
      <c r="A307" t="s">
        <v>969</v>
      </c>
      <c r="B307">
        <v>17</v>
      </c>
      <c r="C307" t="s">
        <v>968</v>
      </c>
      <c r="D307" t="str">
        <f t="shared" si="8"/>
        <v>TO-s17-IMP</v>
      </c>
      <c r="E307" t="s">
        <v>434</v>
      </c>
      <c r="F307" t="s">
        <v>1362</v>
      </c>
      <c r="G307" t="s">
        <v>1363</v>
      </c>
      <c r="H307" t="s">
        <v>772</v>
      </c>
      <c r="I307" t="s">
        <v>773</v>
      </c>
    </row>
    <row r="308" spans="1:9">
      <c r="A308" t="s">
        <v>969</v>
      </c>
      <c r="B308">
        <v>18</v>
      </c>
      <c r="C308" t="s">
        <v>968</v>
      </c>
      <c r="D308" t="str">
        <f t="shared" si="8"/>
        <v>TO-s18-IMP</v>
      </c>
      <c r="E308" t="s">
        <v>430</v>
      </c>
      <c r="F308" t="s">
        <v>1364</v>
      </c>
      <c r="G308" t="s">
        <v>1365</v>
      </c>
      <c r="H308" t="s">
        <v>537</v>
      </c>
      <c r="I308" t="s">
        <v>401</v>
      </c>
    </row>
    <row r="309" spans="1:9">
      <c r="A309" t="s">
        <v>969</v>
      </c>
      <c r="B309">
        <v>18</v>
      </c>
      <c r="C309" t="s">
        <v>968</v>
      </c>
      <c r="D309" t="str">
        <f t="shared" si="8"/>
        <v>TO-s18-IMP</v>
      </c>
      <c r="E309" t="s">
        <v>424</v>
      </c>
      <c r="F309" t="s">
        <v>1366</v>
      </c>
      <c r="G309" t="s">
        <v>1367</v>
      </c>
      <c r="H309" t="s">
        <v>778</v>
      </c>
      <c r="I309" t="s">
        <v>779</v>
      </c>
    </row>
    <row r="310" spans="1:9">
      <c r="A310" t="s">
        <v>969</v>
      </c>
      <c r="B310">
        <v>18</v>
      </c>
      <c r="C310" t="s">
        <v>968</v>
      </c>
      <c r="D310" t="str">
        <f t="shared" si="8"/>
        <v>TO-s18-IMP</v>
      </c>
      <c r="E310" t="s">
        <v>431</v>
      </c>
      <c r="F310" t="s">
        <v>1368</v>
      </c>
      <c r="G310" t="s">
        <v>1369</v>
      </c>
      <c r="H310" t="s">
        <v>446</v>
      </c>
      <c r="I310" t="s">
        <v>419</v>
      </c>
    </row>
    <row r="311" spans="1:9">
      <c r="A311" t="s">
        <v>969</v>
      </c>
      <c r="B311">
        <v>18</v>
      </c>
      <c r="C311" t="s">
        <v>968</v>
      </c>
      <c r="D311" t="str">
        <f t="shared" si="8"/>
        <v>TO-s18-IMP</v>
      </c>
      <c r="E311" t="s">
        <v>432</v>
      </c>
      <c r="F311" t="s">
        <v>1370</v>
      </c>
      <c r="G311" t="s">
        <v>1371</v>
      </c>
      <c r="H311" t="s">
        <v>784</v>
      </c>
      <c r="I311" t="s">
        <v>785</v>
      </c>
    </row>
    <row r="312" spans="1:9">
      <c r="A312" t="s">
        <v>969</v>
      </c>
      <c r="B312">
        <v>18</v>
      </c>
      <c r="C312" t="s">
        <v>968</v>
      </c>
      <c r="D312" t="str">
        <f t="shared" si="8"/>
        <v>TO-s18-IMP</v>
      </c>
      <c r="E312" t="s">
        <v>433</v>
      </c>
      <c r="F312" t="s">
        <v>1372</v>
      </c>
      <c r="G312" t="s">
        <v>1373</v>
      </c>
      <c r="H312" t="s">
        <v>772</v>
      </c>
      <c r="I312" t="s">
        <v>1374</v>
      </c>
    </row>
    <row r="313" spans="1:9">
      <c r="A313" t="s">
        <v>969</v>
      </c>
      <c r="B313">
        <v>18</v>
      </c>
      <c r="C313" t="s">
        <v>968</v>
      </c>
      <c r="D313" t="str">
        <f t="shared" si="8"/>
        <v>TO-s18-IMP</v>
      </c>
      <c r="E313" t="s">
        <v>434</v>
      </c>
      <c r="F313" t="s">
        <v>1375</v>
      </c>
      <c r="G313" t="s">
        <v>1376</v>
      </c>
      <c r="H313" t="s">
        <v>466</v>
      </c>
      <c r="I313" t="s">
        <v>791</v>
      </c>
    </row>
    <row r="314" spans="1:9">
      <c r="A314" t="s">
        <v>969</v>
      </c>
      <c r="B314">
        <v>19</v>
      </c>
      <c r="C314" t="s">
        <v>968</v>
      </c>
      <c r="D314" t="str">
        <f t="shared" si="8"/>
        <v>TO-s19-IMP</v>
      </c>
      <c r="E314" t="s">
        <v>430</v>
      </c>
      <c r="F314" t="s">
        <v>1377</v>
      </c>
      <c r="G314" t="s">
        <v>74</v>
      </c>
      <c r="H314" t="s">
        <v>794</v>
      </c>
      <c r="I314" t="s">
        <v>795</v>
      </c>
    </row>
    <row r="315" spans="1:9">
      <c r="A315" t="s">
        <v>969</v>
      </c>
      <c r="B315">
        <v>19</v>
      </c>
      <c r="C315" t="s">
        <v>968</v>
      </c>
      <c r="D315" t="str">
        <f t="shared" si="8"/>
        <v>TO-s19-IMP</v>
      </c>
      <c r="E315" t="s">
        <v>424</v>
      </c>
      <c r="F315" t="s">
        <v>1378</v>
      </c>
      <c r="G315" t="s">
        <v>1379</v>
      </c>
      <c r="H315" t="s">
        <v>218</v>
      </c>
      <c r="I315" t="s">
        <v>799</v>
      </c>
    </row>
    <row r="316" spans="1:9">
      <c r="A316" t="s">
        <v>969</v>
      </c>
      <c r="B316">
        <v>19</v>
      </c>
      <c r="C316" t="s">
        <v>968</v>
      </c>
      <c r="D316" t="str">
        <f t="shared" si="8"/>
        <v>TO-s19-IMP</v>
      </c>
      <c r="E316" t="s">
        <v>431</v>
      </c>
      <c r="F316" t="s">
        <v>1380</v>
      </c>
      <c r="G316" t="s">
        <v>1381</v>
      </c>
      <c r="H316" t="s">
        <v>470</v>
      </c>
      <c r="I316" t="s">
        <v>405</v>
      </c>
    </row>
    <row r="317" spans="1:9">
      <c r="A317" t="s">
        <v>969</v>
      </c>
      <c r="B317">
        <v>19</v>
      </c>
      <c r="C317" t="s">
        <v>968</v>
      </c>
      <c r="D317" t="str">
        <f t="shared" si="8"/>
        <v>TO-s19-IMP</v>
      </c>
      <c r="E317" t="s">
        <v>432</v>
      </c>
      <c r="F317" t="s">
        <v>1382</v>
      </c>
      <c r="G317" t="s">
        <v>1383</v>
      </c>
      <c r="H317" t="s">
        <v>804</v>
      </c>
      <c r="I317" t="s">
        <v>1384</v>
      </c>
    </row>
    <row r="318" spans="1:9">
      <c r="A318" t="s">
        <v>969</v>
      </c>
      <c r="B318">
        <v>19</v>
      </c>
      <c r="C318" t="s">
        <v>968</v>
      </c>
      <c r="D318" t="str">
        <f t="shared" si="8"/>
        <v>TO-s19-IMP</v>
      </c>
      <c r="E318" t="s">
        <v>433</v>
      </c>
      <c r="F318" t="s">
        <v>1385</v>
      </c>
      <c r="G318" t="s">
        <v>1386</v>
      </c>
      <c r="H318" t="s">
        <v>427</v>
      </c>
      <c r="I318" t="s">
        <v>808</v>
      </c>
    </row>
    <row r="319" spans="1:9">
      <c r="A319" t="s">
        <v>969</v>
      </c>
      <c r="B319">
        <v>19</v>
      </c>
      <c r="C319" t="s">
        <v>968</v>
      </c>
      <c r="D319" t="str">
        <f t="shared" si="8"/>
        <v>TO-s19-IMP</v>
      </c>
      <c r="E319" t="s">
        <v>434</v>
      </c>
      <c r="F319" t="s">
        <v>1387</v>
      </c>
      <c r="G319" t="s">
        <v>882</v>
      </c>
      <c r="H319" t="s">
        <v>481</v>
      </c>
      <c r="I319" t="s">
        <v>810</v>
      </c>
    </row>
    <row r="320" spans="1:9">
      <c r="A320" t="s">
        <v>969</v>
      </c>
      <c r="B320">
        <v>20</v>
      </c>
      <c r="C320" t="s">
        <v>968</v>
      </c>
      <c r="D320" t="str">
        <f t="shared" si="8"/>
        <v>TO-s20-IMP</v>
      </c>
      <c r="E320" t="s">
        <v>430</v>
      </c>
      <c r="F320" t="s">
        <v>1388</v>
      </c>
      <c r="G320" t="s">
        <v>1389</v>
      </c>
      <c r="H320" t="s">
        <v>618</v>
      </c>
      <c r="I320" t="s">
        <v>812</v>
      </c>
    </row>
    <row r="321" spans="1:9">
      <c r="A321" t="s">
        <v>969</v>
      </c>
      <c r="B321">
        <v>20</v>
      </c>
      <c r="C321" t="s">
        <v>968</v>
      </c>
      <c r="D321" t="str">
        <f t="shared" si="8"/>
        <v>TO-s20-IMP</v>
      </c>
      <c r="E321" t="s">
        <v>424</v>
      </c>
      <c r="F321" t="s">
        <v>1390</v>
      </c>
      <c r="G321" t="s">
        <v>698</v>
      </c>
      <c r="H321" t="s">
        <v>580</v>
      </c>
      <c r="I321" t="s">
        <v>815</v>
      </c>
    </row>
    <row r="322" spans="1:9">
      <c r="A322" t="s">
        <v>969</v>
      </c>
      <c r="B322">
        <v>20</v>
      </c>
      <c r="C322" t="s">
        <v>968</v>
      </c>
      <c r="D322" t="str">
        <f t="shared" si="8"/>
        <v>TO-s20-IMP</v>
      </c>
      <c r="E322" t="s">
        <v>431</v>
      </c>
      <c r="F322" t="s">
        <v>1391</v>
      </c>
      <c r="G322" t="s">
        <v>1392</v>
      </c>
      <c r="H322" t="s">
        <v>455</v>
      </c>
      <c r="I322" t="s">
        <v>407</v>
      </c>
    </row>
    <row r="323" spans="1:9">
      <c r="A323" t="s">
        <v>969</v>
      </c>
      <c r="B323">
        <v>20</v>
      </c>
      <c r="C323" t="s">
        <v>968</v>
      </c>
      <c r="D323" t="str">
        <f t="shared" si="8"/>
        <v>TO-s20-IMP</v>
      </c>
      <c r="E323" t="s">
        <v>432</v>
      </c>
      <c r="F323" t="s">
        <v>1393</v>
      </c>
      <c r="G323" t="s">
        <v>1394</v>
      </c>
      <c r="H323" t="s">
        <v>939</v>
      </c>
      <c r="I323" t="s">
        <v>410</v>
      </c>
    </row>
    <row r="324" spans="1:9">
      <c r="A324" t="s">
        <v>969</v>
      </c>
      <c r="B324">
        <v>20</v>
      </c>
      <c r="C324" t="s">
        <v>968</v>
      </c>
      <c r="D324" t="str">
        <f t="shared" si="8"/>
        <v>TO-s20-IMP</v>
      </c>
      <c r="E324" t="s">
        <v>433</v>
      </c>
      <c r="F324" t="s">
        <v>1395</v>
      </c>
      <c r="G324" t="s">
        <v>1396</v>
      </c>
      <c r="H324" t="s">
        <v>629</v>
      </c>
      <c r="I324" t="s">
        <v>413</v>
      </c>
    </row>
    <row r="325" spans="1:9">
      <c r="A325" t="s">
        <v>969</v>
      </c>
      <c r="B325">
        <v>20</v>
      </c>
      <c r="C325" t="s">
        <v>968</v>
      </c>
      <c r="D325" t="str">
        <f t="shared" si="8"/>
        <v>TO-s20-IMP</v>
      </c>
      <c r="E325" t="s">
        <v>434</v>
      </c>
      <c r="F325" t="s">
        <v>825</v>
      </c>
      <c r="G325" t="s">
        <v>1397</v>
      </c>
      <c r="H325" t="s">
        <v>1398</v>
      </c>
      <c r="I325" t="s">
        <v>414</v>
      </c>
    </row>
    <row r="326" spans="1:9">
      <c r="A326" t="s">
        <v>969</v>
      </c>
      <c r="B326">
        <v>21</v>
      </c>
      <c r="C326" t="s">
        <v>968</v>
      </c>
      <c r="D326" t="str">
        <f>_xlfn.CONCAT(A326,"-s",B326,"-",C326)</f>
        <v>TO-s21-IMP</v>
      </c>
      <c r="E326" t="s">
        <v>430</v>
      </c>
      <c r="F326" t="s">
        <v>826</v>
      </c>
      <c r="G326" t="s">
        <v>828</v>
      </c>
      <c r="H326" t="s">
        <v>438</v>
      </c>
      <c r="I326" t="s">
        <v>829</v>
      </c>
    </row>
    <row r="327" spans="1:9">
      <c r="A327" t="s">
        <v>969</v>
      </c>
      <c r="B327">
        <v>21</v>
      </c>
      <c r="C327" t="s">
        <v>968</v>
      </c>
      <c r="D327" t="str">
        <f t="shared" si="5"/>
        <v>TO-s21-IMP</v>
      </c>
      <c r="E327" t="s">
        <v>424</v>
      </c>
      <c r="F327" t="s">
        <v>830</v>
      </c>
      <c r="G327" t="s">
        <v>831</v>
      </c>
      <c r="H327" t="s">
        <v>455</v>
      </c>
      <c r="I327" t="s">
        <v>832</v>
      </c>
    </row>
    <row r="328" spans="1:9">
      <c r="A328" t="s">
        <v>969</v>
      </c>
      <c r="B328">
        <v>21</v>
      </c>
      <c r="C328" t="s">
        <v>968</v>
      </c>
      <c r="D328" t="str">
        <f t="shared" si="5"/>
        <v>TO-s21-IMP</v>
      </c>
      <c r="E328" t="s">
        <v>431</v>
      </c>
      <c r="F328" t="s">
        <v>833</v>
      </c>
      <c r="G328" t="s">
        <v>834</v>
      </c>
      <c r="H328" t="s">
        <v>835</v>
      </c>
      <c r="I328" t="s">
        <v>836</v>
      </c>
    </row>
    <row r="329" spans="1:9">
      <c r="A329" t="s">
        <v>969</v>
      </c>
      <c r="B329">
        <v>21</v>
      </c>
      <c r="C329" t="s">
        <v>968</v>
      </c>
      <c r="D329" t="str">
        <f t="shared" si="5"/>
        <v>TO-s21-IMP</v>
      </c>
      <c r="E329" t="s">
        <v>432</v>
      </c>
      <c r="F329" t="s">
        <v>837</v>
      </c>
      <c r="G329" t="s">
        <v>838</v>
      </c>
      <c r="H329" t="s">
        <v>839</v>
      </c>
      <c r="I329" t="s">
        <v>840</v>
      </c>
    </row>
    <row r="330" spans="1:9">
      <c r="A330" t="s">
        <v>969</v>
      </c>
      <c r="B330">
        <v>21</v>
      </c>
      <c r="C330" t="s">
        <v>968</v>
      </c>
      <c r="D330" t="str">
        <f t="shared" si="5"/>
        <v>TO-s21-IMP</v>
      </c>
      <c r="E330" t="s">
        <v>433</v>
      </c>
      <c r="F330" t="s">
        <v>844</v>
      </c>
      <c r="G330" t="s">
        <v>841</v>
      </c>
      <c r="H330" t="s">
        <v>842</v>
      </c>
      <c r="I330" t="s">
        <v>415</v>
      </c>
    </row>
    <row r="331" spans="1:9">
      <c r="A331" t="s">
        <v>969</v>
      </c>
      <c r="B331">
        <v>21</v>
      </c>
      <c r="C331" t="s">
        <v>968</v>
      </c>
      <c r="D331" t="str">
        <f t="shared" si="5"/>
        <v>TO-s21-IMP</v>
      </c>
      <c r="E331" t="s">
        <v>434</v>
      </c>
      <c r="F331" t="s">
        <v>843</v>
      </c>
      <c r="G331" t="s">
        <v>845</v>
      </c>
      <c r="H331" t="s">
        <v>133</v>
      </c>
      <c r="I331" t="s">
        <v>416</v>
      </c>
    </row>
    <row r="332" spans="1:9">
      <c r="A332" t="s">
        <v>969</v>
      </c>
      <c r="B332">
        <v>22</v>
      </c>
      <c r="C332" t="s">
        <v>968</v>
      </c>
      <c r="D332" t="str">
        <f t="shared" si="5"/>
        <v>TO-s22-IMP</v>
      </c>
      <c r="E332" t="s">
        <v>430</v>
      </c>
      <c r="F332" t="s">
        <v>846</v>
      </c>
      <c r="G332" t="s">
        <v>847</v>
      </c>
      <c r="H332" t="s">
        <v>22</v>
      </c>
      <c r="I332" t="s">
        <v>848</v>
      </c>
    </row>
    <row r="333" spans="1:9">
      <c r="A333" t="s">
        <v>969</v>
      </c>
      <c r="B333">
        <v>22</v>
      </c>
      <c r="C333" t="s">
        <v>968</v>
      </c>
      <c r="D333" t="str">
        <f t="shared" si="5"/>
        <v>TO-s22-IMP</v>
      </c>
      <c r="E333" t="s">
        <v>424</v>
      </c>
      <c r="F333" t="s">
        <v>849</v>
      </c>
      <c r="G333" t="s">
        <v>851</v>
      </c>
      <c r="H333" t="s">
        <v>446</v>
      </c>
      <c r="I333" t="s">
        <v>852</v>
      </c>
    </row>
    <row r="334" spans="1:9">
      <c r="A334" t="s">
        <v>969</v>
      </c>
      <c r="B334">
        <v>22</v>
      </c>
      <c r="C334" t="s">
        <v>968</v>
      </c>
      <c r="D334" t="str">
        <f t="shared" si="5"/>
        <v>TO-s22-IMP</v>
      </c>
      <c r="E334" t="s">
        <v>431</v>
      </c>
      <c r="F334" t="s">
        <v>853</v>
      </c>
      <c r="G334" t="s">
        <v>854</v>
      </c>
      <c r="H334" t="s">
        <v>22</v>
      </c>
      <c r="I334" t="s">
        <v>855</v>
      </c>
    </row>
    <row r="335" spans="1:9">
      <c r="A335" t="s">
        <v>969</v>
      </c>
      <c r="B335">
        <v>22</v>
      </c>
      <c r="C335" t="s">
        <v>968</v>
      </c>
      <c r="D335" t="str">
        <f t="shared" si="5"/>
        <v>TO-s22-IMP</v>
      </c>
      <c r="E335" t="s">
        <v>432</v>
      </c>
      <c r="F335" t="s">
        <v>856</v>
      </c>
      <c r="G335" t="s">
        <v>857</v>
      </c>
      <c r="H335" t="s">
        <v>858</v>
      </c>
      <c r="I335" t="s">
        <v>859</v>
      </c>
    </row>
    <row r="336" spans="1:9">
      <c r="A336" t="s">
        <v>969</v>
      </c>
      <c r="B336">
        <v>22</v>
      </c>
      <c r="C336" t="s">
        <v>968</v>
      </c>
      <c r="D336" t="str">
        <f t="shared" si="5"/>
        <v>TO-s22-IMP</v>
      </c>
      <c r="E336" t="s">
        <v>433</v>
      </c>
      <c r="F336" t="s">
        <v>860</v>
      </c>
      <c r="G336" t="s">
        <v>589</v>
      </c>
      <c r="H336" t="s">
        <v>590</v>
      </c>
      <c r="I336" t="s">
        <v>862</v>
      </c>
    </row>
    <row r="337" spans="1:9">
      <c r="A337" t="s">
        <v>969</v>
      </c>
      <c r="B337">
        <v>22</v>
      </c>
      <c r="C337" t="s">
        <v>968</v>
      </c>
      <c r="D337" t="str">
        <f t="shared" si="5"/>
        <v>TO-s22-IMP</v>
      </c>
      <c r="E337" t="s">
        <v>434</v>
      </c>
      <c r="F337" t="s">
        <v>863</v>
      </c>
      <c r="G337" t="s">
        <v>864</v>
      </c>
      <c r="H337" t="s">
        <v>169</v>
      </c>
      <c r="I337" t="s">
        <v>865</v>
      </c>
    </row>
    <row r="338" spans="1:9">
      <c r="A338" t="s">
        <v>969</v>
      </c>
      <c r="B338">
        <v>23</v>
      </c>
      <c r="C338" t="s">
        <v>968</v>
      </c>
      <c r="D338" t="str">
        <f t="shared" si="5"/>
        <v>TO-s23-IMP</v>
      </c>
      <c r="E338" t="s">
        <v>430</v>
      </c>
      <c r="F338" t="s">
        <v>866</v>
      </c>
      <c r="G338" t="s">
        <v>867</v>
      </c>
      <c r="H338" t="s">
        <v>438</v>
      </c>
      <c r="I338" t="s">
        <v>868</v>
      </c>
    </row>
    <row r="339" spans="1:9">
      <c r="A339" t="s">
        <v>969</v>
      </c>
      <c r="B339">
        <v>23</v>
      </c>
      <c r="C339" t="s">
        <v>968</v>
      </c>
      <c r="D339" t="str">
        <f t="shared" si="5"/>
        <v>TO-s23-IMP</v>
      </c>
      <c r="E339" t="s">
        <v>424</v>
      </c>
      <c r="F339" t="s">
        <v>869</v>
      </c>
      <c r="G339" t="s">
        <v>870</v>
      </c>
      <c r="H339" t="s">
        <v>594</v>
      </c>
      <c r="I339" t="s">
        <v>871</v>
      </c>
    </row>
    <row r="340" spans="1:9">
      <c r="A340" t="s">
        <v>969</v>
      </c>
      <c r="B340">
        <v>23</v>
      </c>
      <c r="C340" t="s">
        <v>968</v>
      </c>
      <c r="D340" t="str">
        <f t="shared" si="5"/>
        <v>TO-s23-IMP</v>
      </c>
      <c r="E340" t="s">
        <v>431</v>
      </c>
      <c r="F340" t="s">
        <v>872</v>
      </c>
      <c r="G340" t="s">
        <v>873</v>
      </c>
      <c r="H340" t="s">
        <v>875</v>
      </c>
      <c r="I340" t="s">
        <v>876</v>
      </c>
    </row>
    <row r="341" spans="1:9">
      <c r="A341" t="s">
        <v>969</v>
      </c>
      <c r="B341">
        <v>23</v>
      </c>
      <c r="C341" t="s">
        <v>968</v>
      </c>
      <c r="D341" t="str">
        <f t="shared" si="5"/>
        <v>TO-s23-IMP</v>
      </c>
      <c r="E341" t="s">
        <v>432</v>
      </c>
      <c r="F341" t="s">
        <v>877</v>
      </c>
      <c r="G341" t="s">
        <v>878</v>
      </c>
      <c r="H341" t="s">
        <v>879</v>
      </c>
      <c r="I341" t="s">
        <v>880</v>
      </c>
    </row>
    <row r="342" spans="1:9">
      <c r="A342" t="s">
        <v>969</v>
      </c>
      <c r="B342">
        <v>23</v>
      </c>
      <c r="C342" t="s">
        <v>968</v>
      </c>
      <c r="D342" t="str">
        <f t="shared" si="5"/>
        <v>TO-s23-IMP</v>
      </c>
      <c r="E342" t="s">
        <v>433</v>
      </c>
      <c r="F342" t="s">
        <v>881</v>
      </c>
      <c r="G342" t="s">
        <v>882</v>
      </c>
      <c r="H342" t="s">
        <v>526</v>
      </c>
      <c r="I342" t="s">
        <v>884</v>
      </c>
    </row>
    <row r="343" spans="1:9">
      <c r="A343" t="s">
        <v>969</v>
      </c>
      <c r="B343">
        <v>23</v>
      </c>
      <c r="C343" t="s">
        <v>968</v>
      </c>
      <c r="D343" t="str">
        <f t="shared" si="5"/>
        <v>TO-s23-IMP</v>
      </c>
      <c r="E343" t="s">
        <v>434</v>
      </c>
      <c r="F343" t="s">
        <v>885</v>
      </c>
      <c r="G343" t="s">
        <v>886</v>
      </c>
      <c r="H343" t="s">
        <v>175</v>
      </c>
      <c r="I343" t="s">
        <v>887</v>
      </c>
    </row>
    <row r="344" spans="1:9">
      <c r="A344" t="s">
        <v>969</v>
      </c>
      <c r="B344">
        <v>24</v>
      </c>
      <c r="C344" t="s">
        <v>968</v>
      </c>
      <c r="D344" t="str">
        <f t="shared" si="5"/>
        <v>TO-s24-IMP</v>
      </c>
      <c r="E344" t="s">
        <v>430</v>
      </c>
      <c r="F344" t="s">
        <v>888</v>
      </c>
      <c r="G344" t="s">
        <v>889</v>
      </c>
      <c r="H344" t="s">
        <v>495</v>
      </c>
      <c r="I344" t="s">
        <v>890</v>
      </c>
    </row>
    <row r="345" spans="1:9">
      <c r="A345" t="s">
        <v>969</v>
      </c>
      <c r="B345">
        <v>24</v>
      </c>
      <c r="C345" t="s">
        <v>968</v>
      </c>
      <c r="D345" t="str">
        <f t="shared" si="5"/>
        <v>TO-s24-IMP</v>
      </c>
      <c r="E345" t="s">
        <v>424</v>
      </c>
      <c r="F345" t="s">
        <v>891</v>
      </c>
      <c r="G345" t="s">
        <v>892</v>
      </c>
      <c r="H345" t="s">
        <v>446</v>
      </c>
      <c r="I345" t="s">
        <v>893</v>
      </c>
    </row>
    <row r="346" spans="1:9">
      <c r="A346" t="s">
        <v>969</v>
      </c>
      <c r="B346">
        <v>24</v>
      </c>
      <c r="C346" t="s">
        <v>968</v>
      </c>
      <c r="D346" t="str">
        <f t="shared" si="5"/>
        <v>TO-s24-IMP</v>
      </c>
      <c r="E346" t="s">
        <v>431</v>
      </c>
      <c r="F346" t="s">
        <v>894</v>
      </c>
      <c r="G346" t="s">
        <v>895</v>
      </c>
      <c r="H346" t="s">
        <v>896</v>
      </c>
      <c r="I346" t="s">
        <v>897</v>
      </c>
    </row>
    <row r="347" spans="1:9">
      <c r="A347" t="s">
        <v>969</v>
      </c>
      <c r="B347">
        <v>24</v>
      </c>
      <c r="C347" t="s">
        <v>968</v>
      </c>
      <c r="D347" t="str">
        <f t="shared" si="5"/>
        <v>TO-s24-IMP</v>
      </c>
      <c r="E347" t="s">
        <v>432</v>
      </c>
      <c r="F347" t="s">
        <v>898</v>
      </c>
      <c r="G347" t="s">
        <v>899</v>
      </c>
      <c r="H347" t="s">
        <v>696</v>
      </c>
      <c r="I347" t="s">
        <v>900</v>
      </c>
    </row>
    <row r="348" spans="1:9">
      <c r="A348" t="s">
        <v>969</v>
      </c>
      <c r="B348">
        <v>24</v>
      </c>
      <c r="C348" t="s">
        <v>968</v>
      </c>
      <c r="D348" t="str">
        <f t="shared" si="5"/>
        <v>TO-s24-IMP</v>
      </c>
      <c r="E348" t="s">
        <v>433</v>
      </c>
      <c r="F348" t="s">
        <v>901</v>
      </c>
      <c r="G348" t="s">
        <v>902</v>
      </c>
      <c r="H348" t="s">
        <v>481</v>
      </c>
      <c r="I348" t="s">
        <v>903</v>
      </c>
    </row>
    <row r="349" spans="1:9">
      <c r="A349" t="s">
        <v>969</v>
      </c>
      <c r="B349">
        <v>24</v>
      </c>
      <c r="C349" t="s">
        <v>968</v>
      </c>
      <c r="D349" t="str">
        <f t="shared" si="5"/>
        <v>TO-s24-IMP</v>
      </c>
      <c r="E349" t="s">
        <v>434</v>
      </c>
      <c r="F349" t="s">
        <v>904</v>
      </c>
      <c r="G349" t="s">
        <v>589</v>
      </c>
      <c r="H349" t="s">
        <v>512</v>
      </c>
      <c r="I349" t="s">
        <v>905</v>
      </c>
    </row>
    <row r="350" spans="1:9">
      <c r="A350" t="s">
        <v>969</v>
      </c>
      <c r="B350">
        <v>25</v>
      </c>
      <c r="C350" t="s">
        <v>968</v>
      </c>
      <c r="D350" t="str">
        <f t="shared" si="5"/>
        <v>TO-s25-IMP</v>
      </c>
      <c r="E350" t="s">
        <v>430</v>
      </c>
      <c r="F350" t="s">
        <v>906</v>
      </c>
      <c r="G350" t="s">
        <v>908</v>
      </c>
      <c r="H350" t="s">
        <v>626</v>
      </c>
      <c r="I350" t="s">
        <v>909</v>
      </c>
    </row>
    <row r="351" spans="1:9">
      <c r="A351" t="s">
        <v>969</v>
      </c>
      <c r="B351">
        <v>25</v>
      </c>
      <c r="C351" t="s">
        <v>968</v>
      </c>
      <c r="D351" t="str">
        <f t="shared" si="5"/>
        <v>TO-s25-IMP</v>
      </c>
      <c r="E351" t="s">
        <v>424</v>
      </c>
      <c r="F351" t="s">
        <v>910</v>
      </c>
      <c r="G351" t="s">
        <v>911</v>
      </c>
      <c r="H351" t="s">
        <v>912</v>
      </c>
      <c r="I351" t="s">
        <v>913</v>
      </c>
    </row>
    <row r="352" spans="1:9">
      <c r="A352" t="s">
        <v>969</v>
      </c>
      <c r="B352">
        <v>25</v>
      </c>
      <c r="C352" t="s">
        <v>968</v>
      </c>
      <c r="D352" t="str">
        <f t="shared" si="5"/>
        <v>TO-s25-IMP</v>
      </c>
      <c r="E352" t="s">
        <v>431</v>
      </c>
      <c r="F352" t="s">
        <v>914</v>
      </c>
      <c r="G352" t="s">
        <v>915</v>
      </c>
      <c r="H352" t="s">
        <v>422</v>
      </c>
      <c r="I352" t="s">
        <v>916</v>
      </c>
    </row>
    <row r="353" spans="1:9">
      <c r="A353" t="s">
        <v>969</v>
      </c>
      <c r="B353">
        <v>25</v>
      </c>
      <c r="C353" t="s">
        <v>968</v>
      </c>
      <c r="D353" t="str">
        <f t="shared" si="5"/>
        <v>TO-s25-IMP</v>
      </c>
      <c r="E353" t="s">
        <v>432</v>
      </c>
      <c r="F353" t="s">
        <v>917</v>
      </c>
      <c r="G353" t="s">
        <v>918</v>
      </c>
      <c r="H353" t="s">
        <v>169</v>
      </c>
      <c r="I353" t="s">
        <v>919</v>
      </c>
    </row>
    <row r="354" spans="1:9">
      <c r="A354" t="s">
        <v>969</v>
      </c>
      <c r="B354">
        <v>25</v>
      </c>
      <c r="C354" t="s">
        <v>968</v>
      </c>
      <c r="D354" t="str">
        <f t="shared" si="5"/>
        <v>TO-s25-IMP</v>
      </c>
      <c r="E354" t="s">
        <v>433</v>
      </c>
      <c r="F354" t="s">
        <v>920</v>
      </c>
      <c r="G354" t="s">
        <v>921</v>
      </c>
      <c r="H354" t="s">
        <v>586</v>
      </c>
      <c r="I354" t="s">
        <v>922</v>
      </c>
    </row>
    <row r="355" spans="1:9">
      <c r="A355" t="s">
        <v>969</v>
      </c>
      <c r="B355">
        <v>25</v>
      </c>
      <c r="C355" t="s">
        <v>968</v>
      </c>
      <c r="D355" t="str">
        <f t="shared" si="5"/>
        <v>TO-s25-IMP</v>
      </c>
      <c r="E355" t="s">
        <v>434</v>
      </c>
      <c r="F355" t="s">
        <v>923</v>
      </c>
      <c r="G355" t="s">
        <v>924</v>
      </c>
      <c r="H355" t="s">
        <v>466</v>
      </c>
      <c r="I355" t="s">
        <v>926</v>
      </c>
    </row>
    <row r="356" spans="1:9">
      <c r="A356" t="s">
        <v>969</v>
      </c>
      <c r="B356">
        <v>26</v>
      </c>
      <c r="C356" t="s">
        <v>968</v>
      </c>
      <c r="D356" t="str">
        <f t="shared" si="5"/>
        <v>TO-s26-IMP</v>
      </c>
      <c r="E356" t="s">
        <v>430</v>
      </c>
      <c r="F356" t="s">
        <v>927</v>
      </c>
      <c r="G356" t="s">
        <v>928</v>
      </c>
      <c r="H356" t="s">
        <v>586</v>
      </c>
      <c r="I356" t="s">
        <v>929</v>
      </c>
    </row>
    <row r="357" spans="1:9">
      <c r="A357" t="s">
        <v>969</v>
      </c>
      <c r="B357">
        <v>26</v>
      </c>
      <c r="C357" t="s">
        <v>968</v>
      </c>
      <c r="D357" t="str">
        <f t="shared" si="5"/>
        <v>TO-s26-IMP</v>
      </c>
      <c r="E357" t="s">
        <v>424</v>
      </c>
      <c r="F357" t="s">
        <v>930</v>
      </c>
      <c r="G357" t="s">
        <v>931</v>
      </c>
      <c r="H357" t="s">
        <v>586</v>
      </c>
      <c r="I357" t="s">
        <v>932</v>
      </c>
    </row>
    <row r="358" spans="1:9">
      <c r="A358" t="s">
        <v>969</v>
      </c>
      <c r="B358">
        <v>26</v>
      </c>
      <c r="C358" t="s">
        <v>968</v>
      </c>
      <c r="D358" t="str">
        <f t="shared" si="5"/>
        <v>TO-s26-IMP</v>
      </c>
      <c r="E358" t="s">
        <v>431</v>
      </c>
      <c r="F358" t="s">
        <v>933</v>
      </c>
      <c r="G358" t="s">
        <v>674</v>
      </c>
      <c r="H358" t="s">
        <v>934</v>
      </c>
      <c r="I358" t="s">
        <v>935</v>
      </c>
    </row>
    <row r="359" spans="1:9">
      <c r="A359" t="s">
        <v>969</v>
      </c>
      <c r="B359">
        <v>26</v>
      </c>
      <c r="C359" t="s">
        <v>968</v>
      </c>
      <c r="D359" t="str">
        <f t="shared" si="5"/>
        <v>TO-s26-IMP</v>
      </c>
      <c r="E359" t="s">
        <v>432</v>
      </c>
      <c r="F359" t="s">
        <v>936</v>
      </c>
      <c r="G359" t="s">
        <v>692</v>
      </c>
      <c r="H359" t="s">
        <v>422</v>
      </c>
      <c r="I359" t="s">
        <v>937</v>
      </c>
    </row>
    <row r="360" spans="1:9">
      <c r="A360" t="s">
        <v>969</v>
      </c>
      <c r="B360">
        <v>26</v>
      </c>
      <c r="C360" t="s">
        <v>968</v>
      </c>
      <c r="D360" t="str">
        <f t="shared" si="5"/>
        <v>TO-s26-IMP</v>
      </c>
      <c r="E360" t="s">
        <v>433</v>
      </c>
      <c r="F360" t="s">
        <v>938</v>
      </c>
      <c r="G360" t="s">
        <v>671</v>
      </c>
      <c r="H360" t="s">
        <v>681</v>
      </c>
      <c r="I360" t="s">
        <v>940</v>
      </c>
    </row>
    <row r="361" spans="1:9">
      <c r="A361" t="s">
        <v>969</v>
      </c>
      <c r="B361">
        <v>26</v>
      </c>
      <c r="C361" t="s">
        <v>968</v>
      </c>
      <c r="D361" t="str">
        <f t="shared" si="5"/>
        <v>TO-s26-IMP</v>
      </c>
      <c r="E361" t="s">
        <v>434</v>
      </c>
      <c r="F361" t="s">
        <v>941</v>
      </c>
      <c r="G361" t="s">
        <v>942</v>
      </c>
      <c r="H361" t="s">
        <v>481</v>
      </c>
      <c r="I361" t="s">
        <v>943</v>
      </c>
    </row>
    <row r="362" spans="1:9">
      <c r="A362" t="s">
        <v>969</v>
      </c>
      <c r="B362">
        <v>27</v>
      </c>
      <c r="C362" t="s">
        <v>968</v>
      </c>
      <c r="D362" t="str">
        <f t="shared" si="5"/>
        <v>TO-s27-IMP</v>
      </c>
      <c r="E362" t="s">
        <v>430</v>
      </c>
      <c r="F362" t="s">
        <v>944</v>
      </c>
      <c r="G362" t="s">
        <v>945</v>
      </c>
      <c r="H362" t="s">
        <v>946</v>
      </c>
      <c r="I362" t="s">
        <v>947</v>
      </c>
    </row>
    <row r="363" spans="1:9">
      <c r="A363" t="s">
        <v>969</v>
      </c>
      <c r="B363">
        <v>27</v>
      </c>
      <c r="C363" t="s">
        <v>968</v>
      </c>
      <c r="D363" t="str">
        <f t="shared" si="5"/>
        <v>TO-s27-IMP</v>
      </c>
      <c r="E363" t="s">
        <v>424</v>
      </c>
      <c r="F363" t="s">
        <v>948</v>
      </c>
      <c r="G363" t="s">
        <v>949</v>
      </c>
      <c r="H363" t="s">
        <v>950</v>
      </c>
      <c r="I363" t="s">
        <v>951</v>
      </c>
    </row>
    <row r="364" spans="1:9">
      <c r="A364" t="s">
        <v>969</v>
      </c>
      <c r="B364">
        <v>27</v>
      </c>
      <c r="C364" t="s">
        <v>968</v>
      </c>
      <c r="D364" t="str">
        <f t="shared" si="5"/>
        <v>TO-s27-IMP</v>
      </c>
      <c r="E364" t="s">
        <v>431</v>
      </c>
      <c r="F364" t="s">
        <v>952</v>
      </c>
      <c r="G364" t="s">
        <v>953</v>
      </c>
      <c r="H364" t="s">
        <v>954</v>
      </c>
      <c r="I364" t="s">
        <v>955</v>
      </c>
    </row>
    <row r="365" spans="1:9">
      <c r="A365" t="s">
        <v>969</v>
      </c>
      <c r="B365">
        <v>27</v>
      </c>
      <c r="C365" t="s">
        <v>968</v>
      </c>
      <c r="D365" t="str">
        <f t="shared" si="5"/>
        <v>TO-s27-IMP</v>
      </c>
      <c r="E365" t="s">
        <v>432</v>
      </c>
      <c r="F365" t="s">
        <v>956</v>
      </c>
      <c r="G365" t="s">
        <v>957</v>
      </c>
      <c r="H365" t="s">
        <v>958</v>
      </c>
      <c r="I365" t="s">
        <v>959</v>
      </c>
    </row>
    <row r="366" spans="1:9">
      <c r="A366" t="s">
        <v>969</v>
      </c>
      <c r="B366">
        <v>27</v>
      </c>
      <c r="C366" t="s">
        <v>968</v>
      </c>
      <c r="D366" t="str">
        <f t="shared" si="5"/>
        <v>TO-s27-IMP</v>
      </c>
      <c r="E366" t="s">
        <v>433</v>
      </c>
      <c r="F366" t="s">
        <v>960</v>
      </c>
      <c r="G366" t="s">
        <v>961</v>
      </c>
      <c r="H366" t="s">
        <v>963</v>
      </c>
      <c r="I366" t="s">
        <v>964</v>
      </c>
    </row>
    <row r="367" spans="1:9">
      <c r="A367" t="s">
        <v>969</v>
      </c>
      <c r="B367">
        <v>27</v>
      </c>
      <c r="C367" t="s">
        <v>968</v>
      </c>
      <c r="D367" t="str">
        <f t="shared" si="5"/>
        <v>TO-s27-IMP</v>
      </c>
      <c r="E367" t="s">
        <v>434</v>
      </c>
      <c r="F367" t="s">
        <v>965</v>
      </c>
      <c r="G367" t="s">
        <v>966</v>
      </c>
      <c r="H367" t="s">
        <v>950</v>
      </c>
      <c r="I367" t="s">
        <v>967</v>
      </c>
    </row>
    <row r="368" spans="1:9">
      <c r="A368" t="s">
        <v>969</v>
      </c>
      <c r="B368">
        <v>28</v>
      </c>
      <c r="C368" t="s">
        <v>968</v>
      </c>
      <c r="D368" t="str">
        <f t="shared" si="5"/>
        <v>TO-s28-IMP</v>
      </c>
      <c r="E368" t="s">
        <v>430</v>
      </c>
      <c r="F368" t="s">
        <v>27</v>
      </c>
      <c r="G368" t="s">
        <v>1399</v>
      </c>
      <c r="H368" t="s">
        <v>939</v>
      </c>
      <c r="I368" t="s">
        <v>1052</v>
      </c>
    </row>
    <row r="369" spans="1:9">
      <c r="A369" t="s">
        <v>969</v>
      </c>
      <c r="B369">
        <v>28</v>
      </c>
      <c r="C369" t="s">
        <v>968</v>
      </c>
      <c r="D369" t="str">
        <f t="shared" si="5"/>
        <v>TO-s28-IMP</v>
      </c>
      <c r="E369" t="s">
        <v>424</v>
      </c>
      <c r="F369" t="s">
        <v>1400</v>
      </c>
      <c r="G369" t="s">
        <v>1401</v>
      </c>
      <c r="H369" t="s">
        <v>455</v>
      </c>
      <c r="I369" t="s">
        <v>1055</v>
      </c>
    </row>
    <row r="370" spans="1:9">
      <c r="A370" t="s">
        <v>969</v>
      </c>
      <c r="B370">
        <v>28</v>
      </c>
      <c r="C370" t="s">
        <v>968</v>
      </c>
      <c r="D370" t="str">
        <f t="shared" si="5"/>
        <v>TO-s28-IMP</v>
      </c>
      <c r="E370" t="s">
        <v>431</v>
      </c>
      <c r="F370" t="s">
        <v>1402</v>
      </c>
      <c r="G370" t="s">
        <v>1403</v>
      </c>
      <c r="H370" t="s">
        <v>438</v>
      </c>
      <c r="I370" t="s">
        <v>1058</v>
      </c>
    </row>
    <row r="371" spans="1:9">
      <c r="A371" t="s">
        <v>969</v>
      </c>
      <c r="B371">
        <v>28</v>
      </c>
      <c r="C371" t="s">
        <v>968</v>
      </c>
      <c r="D371" t="str">
        <f t="shared" si="5"/>
        <v>TO-s28-IMP</v>
      </c>
      <c r="E371" t="s">
        <v>432</v>
      </c>
      <c r="F371" t="s">
        <v>1404</v>
      </c>
      <c r="G371" t="s">
        <v>1405</v>
      </c>
      <c r="H371" t="s">
        <v>169</v>
      </c>
      <c r="I371" t="s">
        <v>1060</v>
      </c>
    </row>
    <row r="372" spans="1:9">
      <c r="A372" t="s">
        <v>969</v>
      </c>
      <c r="B372">
        <v>28</v>
      </c>
      <c r="C372" t="s">
        <v>968</v>
      </c>
      <c r="D372" t="str">
        <f t="shared" si="5"/>
        <v>TO-s28-IMP</v>
      </c>
      <c r="E372" t="s">
        <v>433</v>
      </c>
      <c r="F372" t="s">
        <v>1406</v>
      </c>
      <c r="G372" t="s">
        <v>1407</v>
      </c>
      <c r="H372" t="s">
        <v>1063</v>
      </c>
      <c r="I372" t="s">
        <v>1064</v>
      </c>
    </row>
    <row r="373" spans="1:9">
      <c r="A373" t="s">
        <v>969</v>
      </c>
      <c r="B373">
        <v>28</v>
      </c>
      <c r="C373" t="s">
        <v>968</v>
      </c>
      <c r="D373" t="str">
        <f t="shared" si="5"/>
        <v>TO-s28-IMP</v>
      </c>
      <c r="E373" t="s">
        <v>434</v>
      </c>
      <c r="F373" t="s">
        <v>1408</v>
      </c>
      <c r="G373" t="s">
        <v>1409</v>
      </c>
      <c r="H373" t="s">
        <v>1067</v>
      </c>
      <c r="I373" t="s">
        <v>1068</v>
      </c>
    </row>
    <row r="374" spans="1:9">
      <c r="A374" t="s">
        <v>969</v>
      </c>
      <c r="B374">
        <v>29</v>
      </c>
      <c r="C374" t="s">
        <v>968</v>
      </c>
      <c r="D374" t="str">
        <f t="shared" si="5"/>
        <v>TO-s29-IMP</v>
      </c>
      <c r="E374" t="s">
        <v>430</v>
      </c>
      <c r="F374" t="s">
        <v>1410</v>
      </c>
      <c r="G374" t="s">
        <v>1411</v>
      </c>
      <c r="H374" t="s">
        <v>618</v>
      </c>
      <c r="I374" t="s">
        <v>1070</v>
      </c>
    </row>
    <row r="375" spans="1:9">
      <c r="A375" t="s">
        <v>969</v>
      </c>
      <c r="B375">
        <v>29</v>
      </c>
      <c r="C375" t="s">
        <v>968</v>
      </c>
      <c r="D375" t="str">
        <f t="shared" si="5"/>
        <v>TO-s29-IMP</v>
      </c>
      <c r="E375" t="s">
        <v>424</v>
      </c>
      <c r="F375" t="s">
        <v>1412</v>
      </c>
      <c r="G375" t="s">
        <v>1007</v>
      </c>
      <c r="H375" t="s">
        <v>842</v>
      </c>
      <c r="I375" t="s">
        <v>1072</v>
      </c>
    </row>
    <row r="376" spans="1:9">
      <c r="A376" t="s">
        <v>969</v>
      </c>
      <c r="B376">
        <v>29</v>
      </c>
      <c r="C376" t="s">
        <v>968</v>
      </c>
      <c r="D376" t="str">
        <f t="shared" si="5"/>
        <v>TO-s29-IMP</v>
      </c>
      <c r="E376" t="s">
        <v>431</v>
      </c>
      <c r="F376" t="s">
        <v>1413</v>
      </c>
      <c r="G376" t="s">
        <v>1331</v>
      </c>
      <c r="H376" t="s">
        <v>839</v>
      </c>
      <c r="I376" t="s">
        <v>1075</v>
      </c>
    </row>
    <row r="377" spans="1:9">
      <c r="A377" t="s">
        <v>969</v>
      </c>
      <c r="B377">
        <v>29</v>
      </c>
      <c r="C377" t="s">
        <v>968</v>
      </c>
      <c r="D377" t="str">
        <f t="shared" si="5"/>
        <v>TO-s29-IMP</v>
      </c>
      <c r="E377" t="s">
        <v>432</v>
      </c>
      <c r="F377" t="s">
        <v>1414</v>
      </c>
      <c r="G377" t="s">
        <v>1086</v>
      </c>
      <c r="H377" t="s">
        <v>934</v>
      </c>
      <c r="I377" t="s">
        <v>1078</v>
      </c>
    </row>
    <row r="378" spans="1:9">
      <c r="A378" t="s">
        <v>969</v>
      </c>
      <c r="B378">
        <v>29</v>
      </c>
      <c r="C378" t="s">
        <v>968</v>
      </c>
      <c r="D378" t="str">
        <f t="shared" si="5"/>
        <v>TO-s29-IMP</v>
      </c>
      <c r="E378" t="s">
        <v>433</v>
      </c>
      <c r="F378" t="s">
        <v>1415</v>
      </c>
      <c r="G378" t="s">
        <v>1416</v>
      </c>
      <c r="H378" t="s">
        <v>481</v>
      </c>
      <c r="I378" t="s">
        <v>1081</v>
      </c>
    </row>
    <row r="379" spans="1:9">
      <c r="A379" t="s">
        <v>969</v>
      </c>
      <c r="B379">
        <v>29</v>
      </c>
      <c r="C379" t="s">
        <v>968</v>
      </c>
      <c r="D379" t="str">
        <f t="shared" si="5"/>
        <v>TO-s29-IMP</v>
      </c>
      <c r="E379" t="s">
        <v>434</v>
      </c>
      <c r="F379" t="s">
        <v>1417</v>
      </c>
      <c r="G379" t="s">
        <v>1080</v>
      </c>
      <c r="H379" t="s">
        <v>1418</v>
      </c>
      <c r="I379" t="s">
        <v>1084</v>
      </c>
    </row>
    <row r="380" spans="1:9">
      <c r="A380" t="s">
        <v>969</v>
      </c>
      <c r="B380">
        <v>30</v>
      </c>
      <c r="C380" t="s">
        <v>968</v>
      </c>
      <c r="D380" t="str">
        <f t="shared" si="5"/>
        <v>TO-s30-IMP</v>
      </c>
      <c r="E380" t="s">
        <v>430</v>
      </c>
      <c r="F380" t="s">
        <v>1419</v>
      </c>
      <c r="G380" t="s">
        <v>1420</v>
      </c>
      <c r="H380" t="s">
        <v>526</v>
      </c>
      <c r="I380" t="s">
        <v>1087</v>
      </c>
    </row>
    <row r="381" spans="1:9">
      <c r="A381" t="s">
        <v>969</v>
      </c>
      <c r="B381">
        <v>30</v>
      </c>
      <c r="C381" t="s">
        <v>968</v>
      </c>
      <c r="D381" t="str">
        <f t="shared" si="5"/>
        <v>TO-s30-IMP</v>
      </c>
      <c r="E381" t="s">
        <v>424</v>
      </c>
      <c r="F381" t="s">
        <v>1421</v>
      </c>
      <c r="G381" t="s">
        <v>907</v>
      </c>
      <c r="H381" t="s">
        <v>481</v>
      </c>
      <c r="I381" t="s">
        <v>1089</v>
      </c>
    </row>
    <row r="382" spans="1:9">
      <c r="A382" t="s">
        <v>969</v>
      </c>
      <c r="B382">
        <v>30</v>
      </c>
      <c r="C382" t="s">
        <v>968</v>
      </c>
      <c r="D382" t="str">
        <f t="shared" si="5"/>
        <v>TO-s30-IMP</v>
      </c>
      <c r="E382" t="s">
        <v>431</v>
      </c>
      <c r="F382" t="s">
        <v>1422</v>
      </c>
      <c r="G382" t="s">
        <v>1423</v>
      </c>
      <c r="H382" t="s">
        <v>794</v>
      </c>
      <c r="I382" t="s">
        <v>1092</v>
      </c>
    </row>
    <row r="383" spans="1:9">
      <c r="A383" t="s">
        <v>969</v>
      </c>
      <c r="B383">
        <v>30</v>
      </c>
      <c r="C383" t="s">
        <v>968</v>
      </c>
      <c r="D383" t="str">
        <f t="shared" si="5"/>
        <v>TO-s30-IMP</v>
      </c>
      <c r="E383" t="s">
        <v>432</v>
      </c>
      <c r="F383" t="s">
        <v>1424</v>
      </c>
      <c r="G383" t="s">
        <v>1425</v>
      </c>
      <c r="H383" t="s">
        <v>1094</v>
      </c>
      <c r="I383" t="s">
        <v>1095</v>
      </c>
    </row>
    <row r="384" spans="1:9">
      <c r="A384" t="s">
        <v>969</v>
      </c>
      <c r="B384">
        <v>30</v>
      </c>
      <c r="C384" t="s">
        <v>968</v>
      </c>
      <c r="D384" t="str">
        <f t="shared" si="5"/>
        <v>TO-s30-IMP</v>
      </c>
      <c r="E384" t="s">
        <v>433</v>
      </c>
      <c r="F384" t="s">
        <v>1426</v>
      </c>
      <c r="G384" t="s">
        <v>74</v>
      </c>
      <c r="H384" t="s">
        <v>438</v>
      </c>
      <c r="I384" t="s">
        <v>1098</v>
      </c>
    </row>
    <row r="385" spans="1:9">
      <c r="A385" t="s">
        <v>969</v>
      </c>
      <c r="B385">
        <v>30</v>
      </c>
      <c r="C385" t="s">
        <v>968</v>
      </c>
      <c r="D385" t="str">
        <f t="shared" si="5"/>
        <v>TO-s30-IMP</v>
      </c>
      <c r="E385" t="s">
        <v>434</v>
      </c>
      <c r="F385" t="s">
        <v>1427</v>
      </c>
      <c r="G385" t="s">
        <v>1428</v>
      </c>
      <c r="H385" t="s">
        <v>218</v>
      </c>
      <c r="I385" t="s">
        <v>1101</v>
      </c>
    </row>
    <row r="386" spans="1:9">
      <c r="A386" t="s">
        <v>969</v>
      </c>
      <c r="B386">
        <v>31</v>
      </c>
      <c r="C386" t="s">
        <v>968</v>
      </c>
      <c r="D386" t="str">
        <f t="shared" si="5"/>
        <v>TO-s31-IMP</v>
      </c>
      <c r="E386" t="s">
        <v>430</v>
      </c>
      <c r="F386" t="s">
        <v>1429</v>
      </c>
      <c r="G386" t="s">
        <v>1430</v>
      </c>
      <c r="H386" t="s">
        <v>1104</v>
      </c>
      <c r="I386" t="s">
        <v>1105</v>
      </c>
    </row>
    <row r="387" spans="1:9">
      <c r="A387" t="s">
        <v>969</v>
      </c>
      <c r="B387">
        <v>31</v>
      </c>
      <c r="C387" t="s">
        <v>968</v>
      </c>
      <c r="D387" t="str">
        <f t="shared" si="5"/>
        <v>TO-s31-IMP</v>
      </c>
      <c r="E387" t="s">
        <v>424</v>
      </c>
      <c r="F387" t="s">
        <v>1431</v>
      </c>
      <c r="G387" t="s">
        <v>1103</v>
      </c>
      <c r="H387" t="s">
        <v>696</v>
      </c>
      <c r="I387" t="s">
        <v>1108</v>
      </c>
    </row>
    <row r="388" spans="1:9">
      <c r="A388" t="s">
        <v>969</v>
      </c>
      <c r="B388">
        <v>31</v>
      </c>
      <c r="C388" t="s">
        <v>968</v>
      </c>
      <c r="D388" t="str">
        <f t="shared" si="5"/>
        <v>TO-s31-IMP</v>
      </c>
      <c r="E388" t="s">
        <v>431</v>
      </c>
      <c r="F388" t="s">
        <v>1432</v>
      </c>
      <c r="G388" t="s">
        <v>1433</v>
      </c>
      <c r="H388" t="s">
        <v>718</v>
      </c>
      <c r="I388" t="s">
        <v>1110</v>
      </c>
    </row>
    <row r="389" spans="1:9">
      <c r="A389" t="s">
        <v>969</v>
      </c>
      <c r="B389">
        <v>31</v>
      </c>
      <c r="C389" t="s">
        <v>968</v>
      </c>
      <c r="D389" t="str">
        <f t="shared" si="5"/>
        <v>TO-s31-IMP</v>
      </c>
      <c r="E389" t="s">
        <v>432</v>
      </c>
      <c r="F389" t="s">
        <v>1434</v>
      </c>
      <c r="G389" t="s">
        <v>850</v>
      </c>
      <c r="H389" t="s">
        <v>696</v>
      </c>
      <c r="I389" t="s">
        <v>1113</v>
      </c>
    </row>
    <row r="390" spans="1:9">
      <c r="A390" t="s">
        <v>969</v>
      </c>
      <c r="B390">
        <v>31</v>
      </c>
      <c r="C390" t="s">
        <v>968</v>
      </c>
      <c r="D390" t="str">
        <f t="shared" si="5"/>
        <v>TO-s31-IMP</v>
      </c>
      <c r="E390" t="s">
        <v>433</v>
      </c>
      <c r="F390" t="s">
        <v>1435</v>
      </c>
      <c r="G390" t="s">
        <v>1284</v>
      </c>
      <c r="H390" t="s">
        <v>835</v>
      </c>
      <c r="I390" t="s">
        <v>1116</v>
      </c>
    </row>
    <row r="391" spans="1:9">
      <c r="A391" t="s">
        <v>969</v>
      </c>
      <c r="B391">
        <v>31</v>
      </c>
      <c r="C391" t="s">
        <v>968</v>
      </c>
      <c r="D391" t="str">
        <f t="shared" ref="D391:D415" si="9">_xlfn.CONCAT(A391,"-s",B391,"-",C391)</f>
        <v>TO-s31-IMP</v>
      </c>
      <c r="E391" t="s">
        <v>434</v>
      </c>
      <c r="F391" t="s">
        <v>1436</v>
      </c>
      <c r="G391" t="s">
        <v>1237</v>
      </c>
      <c r="H391" t="s">
        <v>580</v>
      </c>
      <c r="I391" t="s">
        <v>1119</v>
      </c>
    </row>
    <row r="392" spans="1:9">
      <c r="A392" t="s">
        <v>969</v>
      </c>
      <c r="B392">
        <v>32</v>
      </c>
      <c r="C392" t="s">
        <v>968</v>
      </c>
      <c r="D392" t="str">
        <f t="shared" si="9"/>
        <v>TO-s32-IMP</v>
      </c>
      <c r="E392" t="s">
        <v>430</v>
      </c>
      <c r="F392" t="s">
        <v>1437</v>
      </c>
      <c r="G392" t="s">
        <v>1438</v>
      </c>
      <c r="H392" t="s">
        <v>1121</v>
      </c>
      <c r="I392" t="s">
        <v>1122</v>
      </c>
    </row>
    <row r="393" spans="1:9">
      <c r="A393" t="s">
        <v>969</v>
      </c>
      <c r="B393">
        <v>32</v>
      </c>
      <c r="C393" t="s">
        <v>968</v>
      </c>
      <c r="D393" t="str">
        <f t="shared" si="9"/>
        <v>TO-s32-IMP</v>
      </c>
      <c r="E393" t="s">
        <v>424</v>
      </c>
      <c r="F393" t="s">
        <v>1439</v>
      </c>
      <c r="G393" t="s">
        <v>1440</v>
      </c>
      <c r="H393" t="s">
        <v>175</v>
      </c>
      <c r="I393" t="s">
        <v>1125</v>
      </c>
    </row>
    <row r="394" spans="1:9">
      <c r="A394" t="s">
        <v>969</v>
      </c>
      <c r="B394">
        <v>32</v>
      </c>
      <c r="C394" t="s">
        <v>968</v>
      </c>
      <c r="D394" t="str">
        <f t="shared" si="9"/>
        <v>TO-s32-IMP</v>
      </c>
      <c r="E394" t="s">
        <v>431</v>
      </c>
      <c r="F394" t="s">
        <v>1441</v>
      </c>
      <c r="G394" t="s">
        <v>1442</v>
      </c>
      <c r="H394" t="s">
        <v>1128</v>
      </c>
      <c r="I394" t="s">
        <v>1129</v>
      </c>
    </row>
    <row r="395" spans="1:9">
      <c r="A395" t="s">
        <v>969</v>
      </c>
      <c r="B395">
        <v>32</v>
      </c>
      <c r="C395" t="s">
        <v>968</v>
      </c>
      <c r="D395" t="str">
        <f t="shared" si="9"/>
        <v>TO-s32-IMP</v>
      </c>
      <c r="E395" t="s">
        <v>432</v>
      </c>
      <c r="F395" t="s">
        <v>1443</v>
      </c>
      <c r="G395" t="s">
        <v>1444</v>
      </c>
      <c r="H395" t="s">
        <v>1131</v>
      </c>
      <c r="I395" t="s">
        <v>1132</v>
      </c>
    </row>
    <row r="396" spans="1:9">
      <c r="A396" t="s">
        <v>969</v>
      </c>
      <c r="B396">
        <v>32</v>
      </c>
      <c r="C396" t="s">
        <v>968</v>
      </c>
      <c r="D396" t="str">
        <f t="shared" si="9"/>
        <v>TO-s32-IMP</v>
      </c>
      <c r="E396" t="s">
        <v>433</v>
      </c>
      <c r="F396" t="s">
        <v>1445</v>
      </c>
      <c r="G396" t="s">
        <v>1401</v>
      </c>
      <c r="H396" t="s">
        <v>1135</v>
      </c>
      <c r="I396" t="s">
        <v>1136</v>
      </c>
    </row>
    <row r="397" spans="1:9">
      <c r="A397" t="s">
        <v>969</v>
      </c>
      <c r="B397">
        <v>32</v>
      </c>
      <c r="C397" t="s">
        <v>968</v>
      </c>
      <c r="D397" t="str">
        <f t="shared" si="9"/>
        <v>TO-s32-IMP</v>
      </c>
      <c r="E397" t="s">
        <v>434</v>
      </c>
      <c r="F397" t="s">
        <v>1446</v>
      </c>
      <c r="G397" t="s">
        <v>1447</v>
      </c>
      <c r="H397" t="s">
        <v>794</v>
      </c>
      <c r="I397" t="s">
        <v>1138</v>
      </c>
    </row>
    <row r="398" spans="1:9">
      <c r="A398" t="s">
        <v>969</v>
      </c>
      <c r="B398">
        <v>33</v>
      </c>
      <c r="C398" t="s">
        <v>968</v>
      </c>
      <c r="D398" t="str">
        <f t="shared" si="9"/>
        <v>TO-s33-IMP</v>
      </c>
      <c r="E398" t="s">
        <v>430</v>
      </c>
      <c r="F398" t="s">
        <v>1448</v>
      </c>
      <c r="G398" t="s">
        <v>1449</v>
      </c>
      <c r="H398" t="s">
        <v>861</v>
      </c>
      <c r="I398" t="s">
        <v>1140</v>
      </c>
    </row>
    <row r="399" spans="1:9">
      <c r="A399" t="s">
        <v>969</v>
      </c>
      <c r="B399">
        <v>33</v>
      </c>
      <c r="C399" t="s">
        <v>968</v>
      </c>
      <c r="D399" t="str">
        <f t="shared" si="9"/>
        <v>TO-s33-IMP</v>
      </c>
      <c r="E399" t="s">
        <v>424</v>
      </c>
      <c r="F399" t="s">
        <v>1457</v>
      </c>
      <c r="G399" t="s">
        <v>1450</v>
      </c>
      <c r="H399" t="s">
        <v>1143</v>
      </c>
      <c r="I399" t="s">
        <v>1144</v>
      </c>
    </row>
    <row r="400" spans="1:9">
      <c r="A400" t="s">
        <v>969</v>
      </c>
      <c r="B400">
        <v>33</v>
      </c>
      <c r="C400" t="s">
        <v>968</v>
      </c>
      <c r="D400" t="str">
        <f t="shared" si="9"/>
        <v>TO-s33-IMP</v>
      </c>
      <c r="E400" t="s">
        <v>431</v>
      </c>
      <c r="F400" t="s">
        <v>1458</v>
      </c>
      <c r="G400" t="s">
        <v>1451</v>
      </c>
      <c r="H400" t="s">
        <v>594</v>
      </c>
      <c r="I400" t="s">
        <v>1147</v>
      </c>
    </row>
    <row r="401" spans="1:9">
      <c r="A401" t="s">
        <v>969</v>
      </c>
      <c r="B401">
        <v>33</v>
      </c>
      <c r="C401" t="s">
        <v>968</v>
      </c>
      <c r="D401" t="str">
        <f t="shared" si="9"/>
        <v>TO-s33-IMP</v>
      </c>
      <c r="E401" t="s">
        <v>432</v>
      </c>
      <c r="F401" t="s">
        <v>1456</v>
      </c>
      <c r="G401" t="s">
        <v>1452</v>
      </c>
      <c r="H401" t="s">
        <v>939</v>
      </c>
      <c r="I401" t="s">
        <v>1149</v>
      </c>
    </row>
    <row r="402" spans="1:9">
      <c r="A402" t="s">
        <v>969</v>
      </c>
      <c r="B402">
        <v>33</v>
      </c>
      <c r="C402" t="s">
        <v>968</v>
      </c>
      <c r="D402" t="str">
        <f t="shared" si="9"/>
        <v>TO-s33-IMP</v>
      </c>
      <c r="E402" t="s">
        <v>433</v>
      </c>
      <c r="F402" t="s">
        <v>1455</v>
      </c>
      <c r="G402" t="s">
        <v>1453</v>
      </c>
      <c r="H402" t="s">
        <v>438</v>
      </c>
      <c r="I402" t="s">
        <v>1151</v>
      </c>
    </row>
    <row r="403" spans="1:9">
      <c r="A403" t="s">
        <v>969</v>
      </c>
      <c r="B403">
        <v>33</v>
      </c>
      <c r="C403" t="s">
        <v>968</v>
      </c>
      <c r="D403" t="str">
        <f t="shared" si="9"/>
        <v>TO-s33-IMP</v>
      </c>
      <c r="E403" t="s">
        <v>434</v>
      </c>
      <c r="F403" t="s">
        <v>1454</v>
      </c>
      <c r="G403" t="s">
        <v>1459</v>
      </c>
      <c r="H403" t="s">
        <v>466</v>
      </c>
      <c r="I403" t="s">
        <v>1153</v>
      </c>
    </row>
    <row r="404" spans="1:9">
      <c r="A404" t="s">
        <v>969</v>
      </c>
      <c r="B404">
        <v>34</v>
      </c>
      <c r="C404" t="s">
        <v>968</v>
      </c>
      <c r="D404" t="str">
        <f t="shared" si="9"/>
        <v>TO-s34-IMP</v>
      </c>
      <c r="E404" t="s">
        <v>430</v>
      </c>
      <c r="F404" t="s">
        <v>1460</v>
      </c>
      <c r="G404" t="s">
        <v>203</v>
      </c>
      <c r="H404" t="s">
        <v>839</v>
      </c>
      <c r="I404" t="s">
        <v>1155</v>
      </c>
    </row>
    <row r="405" spans="1:9">
      <c r="A405" t="s">
        <v>969</v>
      </c>
      <c r="B405">
        <v>34</v>
      </c>
      <c r="C405" t="s">
        <v>968</v>
      </c>
      <c r="D405" t="str">
        <f t="shared" si="9"/>
        <v>TO-s34-IMP</v>
      </c>
      <c r="E405" t="s">
        <v>424</v>
      </c>
      <c r="F405" t="s">
        <v>1461</v>
      </c>
      <c r="G405" t="s">
        <v>1462</v>
      </c>
      <c r="H405" t="s">
        <v>1157</v>
      </c>
      <c r="I405" t="s">
        <v>1158</v>
      </c>
    </row>
    <row r="406" spans="1:9">
      <c r="A406" t="s">
        <v>969</v>
      </c>
      <c r="B406">
        <v>34</v>
      </c>
      <c r="C406" t="s">
        <v>968</v>
      </c>
      <c r="D406" t="str">
        <f t="shared" si="9"/>
        <v>TO-s34-IMP</v>
      </c>
      <c r="E406" t="s">
        <v>431</v>
      </c>
      <c r="F406" t="s">
        <v>1463</v>
      </c>
      <c r="G406" t="s">
        <v>1464</v>
      </c>
      <c r="H406" t="s">
        <v>1157</v>
      </c>
      <c r="I406" t="s">
        <v>1161</v>
      </c>
    </row>
    <row r="407" spans="1:9">
      <c r="A407" t="s">
        <v>969</v>
      </c>
      <c r="B407">
        <v>34</v>
      </c>
      <c r="C407" t="s">
        <v>968</v>
      </c>
      <c r="D407" t="str">
        <f t="shared" si="9"/>
        <v>TO-s34-IMP</v>
      </c>
      <c r="E407" t="s">
        <v>432</v>
      </c>
      <c r="F407" t="s">
        <v>1465</v>
      </c>
      <c r="G407" t="s">
        <v>1466</v>
      </c>
      <c r="H407" t="s">
        <v>1135</v>
      </c>
      <c r="I407" t="s">
        <v>1467</v>
      </c>
    </row>
    <row r="408" spans="1:9">
      <c r="A408" t="s">
        <v>969</v>
      </c>
      <c r="B408">
        <v>34</v>
      </c>
      <c r="C408" t="s">
        <v>968</v>
      </c>
      <c r="D408" t="str">
        <f t="shared" si="9"/>
        <v>TO-s34-IMP</v>
      </c>
      <c r="E408" t="s">
        <v>433</v>
      </c>
      <c r="F408" t="s">
        <v>1468</v>
      </c>
      <c r="G408" t="s">
        <v>1469</v>
      </c>
      <c r="H408" t="s">
        <v>1135</v>
      </c>
      <c r="I408" t="s">
        <v>1167</v>
      </c>
    </row>
    <row r="409" spans="1:9">
      <c r="A409" t="s">
        <v>969</v>
      </c>
      <c r="B409">
        <v>34</v>
      </c>
      <c r="C409" t="s">
        <v>968</v>
      </c>
      <c r="D409" t="str">
        <f t="shared" si="9"/>
        <v>TO-s34-IMP</v>
      </c>
      <c r="E409" t="s">
        <v>434</v>
      </c>
      <c r="F409" t="s">
        <v>1470</v>
      </c>
      <c r="G409" t="s">
        <v>1471</v>
      </c>
      <c r="H409" t="s">
        <v>842</v>
      </c>
      <c r="I409" t="s">
        <v>1170</v>
      </c>
    </row>
    <row r="410" spans="1:9">
      <c r="A410" t="s">
        <v>1481</v>
      </c>
      <c r="B410">
        <v>1</v>
      </c>
      <c r="C410" t="s">
        <v>1480</v>
      </c>
      <c r="D410" t="str">
        <f t="shared" si="9"/>
        <v>CU-s1-abc</v>
      </c>
      <c r="E410" t="s">
        <v>430</v>
      </c>
      <c r="F410" s="10" t="s">
        <v>1482</v>
      </c>
      <c r="G410" s="11" t="s">
        <v>11</v>
      </c>
      <c r="H410" s="12" t="s">
        <v>1484</v>
      </c>
      <c r="I410" s="11" t="s">
        <v>1483</v>
      </c>
    </row>
    <row r="411" spans="1:9">
      <c r="A411" t="s">
        <v>1481</v>
      </c>
      <c r="B411">
        <v>1</v>
      </c>
      <c r="C411" t="s">
        <v>1480</v>
      </c>
      <c r="D411" t="str">
        <f t="shared" si="9"/>
        <v>CU-s1-abc</v>
      </c>
      <c r="E411" t="s">
        <v>424</v>
      </c>
    </row>
    <row r="412" spans="1:9">
      <c r="A412" t="s">
        <v>1481</v>
      </c>
      <c r="B412">
        <v>1</v>
      </c>
      <c r="C412" t="s">
        <v>1480</v>
      </c>
      <c r="D412" t="str">
        <f t="shared" si="9"/>
        <v>CU-s1-abc</v>
      </c>
      <c r="E412" t="s">
        <v>431</v>
      </c>
    </row>
    <row r="413" spans="1:9">
      <c r="A413" t="s">
        <v>1481</v>
      </c>
      <c r="B413">
        <v>1</v>
      </c>
      <c r="C413" t="s">
        <v>1480</v>
      </c>
      <c r="D413" t="str">
        <f t="shared" si="9"/>
        <v>CU-s1-abc</v>
      </c>
      <c r="E413" t="s">
        <v>432</v>
      </c>
    </row>
    <row r="414" spans="1:9">
      <c r="A414" t="s">
        <v>1481</v>
      </c>
      <c r="B414">
        <v>1</v>
      </c>
      <c r="C414" t="s">
        <v>1480</v>
      </c>
      <c r="D414" t="str">
        <f t="shared" si="9"/>
        <v>CU-s1-abc</v>
      </c>
      <c r="E414" t="s">
        <v>433</v>
      </c>
    </row>
    <row r="415" spans="1:9">
      <c r="A415" t="s">
        <v>1481</v>
      </c>
      <c r="B415">
        <v>1</v>
      </c>
      <c r="C415" t="s">
        <v>1480</v>
      </c>
      <c r="D415" t="str">
        <f t="shared" si="9"/>
        <v>CU-s1-abc</v>
      </c>
      <c r="E415" t="s">
        <v>434</v>
      </c>
    </row>
  </sheetData>
  <hyperlinks>
    <hyperlink ref="F1" r:id="rId1" xr:uid="{2674AFF8-3EE6-404D-9DAC-B7E8C9F38E0E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FA39-5D96-4259-A1EE-44E9BC9B401F}">
  <dimension ref="A8:V80"/>
  <sheetViews>
    <sheetView zoomScale="145" zoomScaleNormal="145" workbookViewId="0"/>
  </sheetViews>
  <sheetFormatPr defaultRowHeight="15"/>
  <cols>
    <col min="2" max="2" width="14.42578125" customWidth="1"/>
    <col min="3" max="3" width="74.28515625" bestFit="1" customWidth="1"/>
    <col min="15" max="15" width="10.5703125" bestFit="1" customWidth="1"/>
  </cols>
  <sheetData>
    <row r="8" spans="1:22" ht="22.5">
      <c r="A8">
        <v>34</v>
      </c>
      <c r="B8" t="s">
        <v>1476</v>
      </c>
      <c r="C8" s="6" t="str">
        <f t="shared" ref="C8:C10" si="0">_xlfn.CONCAT("// TIEMPO ORDINARIO - SEMANA ",A8," ",B8)</f>
        <v>// TIEMPO ORDINARIO - SEMANA 34 LUNES</v>
      </c>
    </row>
    <row r="9" spans="1:22" ht="22.5">
      <c r="A9">
        <f>A8</f>
        <v>34</v>
      </c>
      <c r="B9" t="s">
        <v>1477</v>
      </c>
      <c r="C9" s="6" t="str">
        <f t="shared" si="0"/>
        <v>// TIEMPO ORDINARIO - SEMANA 34 MARTES</v>
      </c>
    </row>
    <row r="10" spans="1:22" ht="22.5">
      <c r="A10">
        <f t="shared" ref="A10:A13" si="1">A9</f>
        <v>34</v>
      </c>
      <c r="B10" t="s">
        <v>1475</v>
      </c>
      <c r="C10" s="6" t="str">
        <f t="shared" si="0"/>
        <v>// TIEMPO ORDINARIO - SEMANA 34 MIERCOLES</v>
      </c>
      <c r="V10" s="9" t="s">
        <v>1476</v>
      </c>
    </row>
    <row r="11" spans="1:22" ht="22.5">
      <c r="A11">
        <f t="shared" si="1"/>
        <v>34</v>
      </c>
      <c r="B11" t="s">
        <v>1472</v>
      </c>
      <c r="C11" s="6" t="str">
        <f>_xlfn.CONCAT("// TIEMPO ORDINARIO - SEMANA ",A11," ",B11)</f>
        <v>// TIEMPO ORDINARIO - SEMANA 34 JUEVES</v>
      </c>
      <c r="V11" s="9" t="s">
        <v>1477</v>
      </c>
    </row>
    <row r="12" spans="1:22" ht="22.5">
      <c r="A12">
        <f t="shared" si="1"/>
        <v>34</v>
      </c>
      <c r="B12" t="s">
        <v>1473</v>
      </c>
      <c r="C12" s="6" t="str">
        <f t="shared" ref="C12:C13" si="2">_xlfn.CONCAT("// TIEMPO ORDINARIO - SEMANA ",A12," ",B12)</f>
        <v>// TIEMPO ORDINARIO - SEMANA 34 VIERNES</v>
      </c>
      <c r="V12" s="9" t="s">
        <v>1475</v>
      </c>
    </row>
    <row r="13" spans="1:22" ht="22.5">
      <c r="A13">
        <f t="shared" si="1"/>
        <v>34</v>
      </c>
      <c r="B13" t="s">
        <v>1474</v>
      </c>
      <c r="C13" s="6" t="str">
        <f t="shared" si="2"/>
        <v>// TIEMPO ORDINARIO - SEMANA 34 SABADO</v>
      </c>
      <c r="N13" t="s">
        <v>1478</v>
      </c>
      <c r="V13" s="9" t="s">
        <v>1472</v>
      </c>
    </row>
    <row r="14" spans="1:22" ht="22.5">
      <c r="A14">
        <f t="shared" ref="A14" si="3">A13</f>
        <v>34</v>
      </c>
      <c r="B14" t="s">
        <v>1479</v>
      </c>
      <c r="C14" s="6" t="str">
        <f t="shared" ref="C14" si="4">_xlfn.CONCAT("// TIEMPO ORDINARIO - SEMANA ",A14," ",B14)</f>
        <v>// TIEMPO ORDINARIO - SEMANA 34 DOMINGO</v>
      </c>
      <c r="V14" s="9" t="s">
        <v>1473</v>
      </c>
    </row>
    <row r="15" spans="1:22">
      <c r="M15" t="s">
        <v>1478</v>
      </c>
    </row>
    <row r="16" spans="1:22" ht="22.5">
      <c r="A16">
        <v>1</v>
      </c>
      <c r="B16" t="s">
        <v>1476</v>
      </c>
      <c r="C16" s="6" t="str">
        <f>_xlfn.CONCAT("// TIEMPO DE CUARESMA - SEMANA ",A16," ",B16)</f>
        <v>// TIEMPO DE CUARESMA - SEMANA 1 LUNES</v>
      </c>
    </row>
    <row r="17" spans="1:22" ht="22.5">
      <c r="A17">
        <f>A16</f>
        <v>1</v>
      </c>
      <c r="B17" t="s">
        <v>1477</v>
      </c>
      <c r="C17" s="6" t="str">
        <f t="shared" ref="C17:C21" si="5">_xlfn.CONCAT("// TIEMPO DE CUARESMA - SEMANA ",A17," ",B17)</f>
        <v>// TIEMPO DE CUARESMA - SEMANA 1 MARTES</v>
      </c>
      <c r="M17">
        <v>456.43</v>
      </c>
      <c r="N17">
        <v>61.1</v>
      </c>
      <c r="O17" s="7">
        <f>+N17*M17</f>
        <v>27887.873</v>
      </c>
    </row>
    <row r="18" spans="1:22" ht="22.5">
      <c r="A18">
        <f t="shared" ref="A18:A21" si="6">A17</f>
        <v>1</v>
      </c>
      <c r="B18" t="s">
        <v>1475</v>
      </c>
      <c r="C18" s="6" t="str">
        <f t="shared" si="5"/>
        <v>// TIEMPO DE CUARESMA - SEMANA 1 MIERCOLES</v>
      </c>
      <c r="M18">
        <f>+O18/N18</f>
        <v>98.199672667757767</v>
      </c>
      <c r="N18">
        <v>61.1</v>
      </c>
      <c r="O18">
        <v>6000</v>
      </c>
    </row>
    <row r="19" spans="1:22" ht="22.5">
      <c r="A19">
        <f t="shared" si="6"/>
        <v>1</v>
      </c>
      <c r="B19" t="s">
        <v>1472</v>
      </c>
      <c r="C19" s="6" t="str">
        <f t="shared" si="5"/>
        <v>// TIEMPO DE CUARESMA - SEMANA 1 JUEVES</v>
      </c>
      <c r="M19">
        <f>+M17-M18</f>
        <v>358.23032733224227</v>
      </c>
      <c r="O19" s="8">
        <f>+O17-O18</f>
        <v>21887.873</v>
      </c>
    </row>
    <row r="20" spans="1:22" ht="22.5">
      <c r="A20">
        <f t="shared" si="6"/>
        <v>1</v>
      </c>
      <c r="B20" t="s">
        <v>1473</v>
      </c>
      <c r="C20" s="6" t="str">
        <f t="shared" si="5"/>
        <v>// TIEMPO DE CUARESMA - SEMANA 1 VIERNES</v>
      </c>
    </row>
    <row r="21" spans="1:22" ht="22.5">
      <c r="A21">
        <f t="shared" si="6"/>
        <v>1</v>
      </c>
      <c r="B21" t="s">
        <v>1474</v>
      </c>
      <c r="C21" s="6" t="str">
        <f t="shared" si="5"/>
        <v>// TIEMPO DE CUARESMA - SEMANA 1 SABADO</v>
      </c>
    </row>
    <row r="25" spans="1:22" ht="22.5">
      <c r="A25">
        <v>1</v>
      </c>
      <c r="B25" t="s">
        <v>1479</v>
      </c>
      <c r="C25" s="6" t="str">
        <f t="shared" ref="C25" si="7">_xlfn.CONCAT("// TIEMPO ORDINARIO - SEMANA ",A25," ",B25)</f>
        <v>// TIEMPO ORDINARIO - SEMANA 1 DOMINGO</v>
      </c>
      <c r="V25" s="9" t="s">
        <v>1473</v>
      </c>
    </row>
    <row r="26" spans="1:22" ht="22.5">
      <c r="A26">
        <f>+A25+1</f>
        <v>2</v>
      </c>
      <c r="B26" t="s">
        <v>1479</v>
      </c>
      <c r="C26" s="6" t="str">
        <f t="shared" ref="C26:C58" si="8">_xlfn.CONCAT("// TIEMPO ORDINARIO - SEMANA ",A26," ",B26)</f>
        <v>// TIEMPO ORDINARIO - SEMANA 2 DOMINGO</v>
      </c>
    </row>
    <row r="27" spans="1:22" ht="22.5">
      <c r="A27">
        <f t="shared" ref="A27:A58" si="9">+A26+1</f>
        <v>3</v>
      </c>
      <c r="B27" t="s">
        <v>1479</v>
      </c>
      <c r="C27" s="6" t="str">
        <f t="shared" si="8"/>
        <v>// TIEMPO ORDINARIO - SEMANA 3 DOMINGO</v>
      </c>
    </row>
    <row r="28" spans="1:22" ht="22.5">
      <c r="A28">
        <f t="shared" si="9"/>
        <v>4</v>
      </c>
      <c r="B28" t="s">
        <v>1479</v>
      </c>
      <c r="C28" s="6" t="str">
        <f t="shared" si="8"/>
        <v>// TIEMPO ORDINARIO - SEMANA 4 DOMINGO</v>
      </c>
    </row>
    <row r="29" spans="1:22" ht="22.5">
      <c r="A29">
        <f t="shared" si="9"/>
        <v>5</v>
      </c>
      <c r="B29" t="s">
        <v>1479</v>
      </c>
      <c r="C29" s="6" t="str">
        <f t="shared" si="8"/>
        <v>// TIEMPO ORDINARIO - SEMANA 5 DOMINGO</v>
      </c>
    </row>
    <row r="30" spans="1:22" ht="22.5">
      <c r="A30">
        <f t="shared" si="9"/>
        <v>6</v>
      </c>
      <c r="B30" t="s">
        <v>1479</v>
      </c>
      <c r="C30" s="6" t="str">
        <f t="shared" si="8"/>
        <v>// TIEMPO ORDINARIO - SEMANA 6 DOMINGO</v>
      </c>
    </row>
    <row r="31" spans="1:22" ht="22.5">
      <c r="A31">
        <f t="shared" si="9"/>
        <v>7</v>
      </c>
      <c r="B31" t="s">
        <v>1479</v>
      </c>
      <c r="C31" s="6" t="str">
        <f t="shared" si="8"/>
        <v>// TIEMPO ORDINARIO - SEMANA 7 DOMINGO</v>
      </c>
    </row>
    <row r="32" spans="1:22" ht="22.5">
      <c r="A32">
        <f t="shared" si="9"/>
        <v>8</v>
      </c>
      <c r="B32" t="s">
        <v>1479</v>
      </c>
      <c r="C32" s="6" t="str">
        <f t="shared" si="8"/>
        <v>// TIEMPO ORDINARIO - SEMANA 8 DOMINGO</v>
      </c>
    </row>
    <row r="33" spans="1:3" ht="22.5">
      <c r="A33">
        <f t="shared" si="9"/>
        <v>9</v>
      </c>
      <c r="B33" t="s">
        <v>1479</v>
      </c>
      <c r="C33" s="6" t="str">
        <f t="shared" si="8"/>
        <v>// TIEMPO ORDINARIO - SEMANA 9 DOMINGO</v>
      </c>
    </row>
    <row r="34" spans="1:3" ht="22.5">
      <c r="A34">
        <f t="shared" si="9"/>
        <v>10</v>
      </c>
      <c r="B34" t="s">
        <v>1479</v>
      </c>
      <c r="C34" s="6" t="str">
        <f t="shared" si="8"/>
        <v>// TIEMPO ORDINARIO - SEMANA 10 DOMINGO</v>
      </c>
    </row>
    <row r="35" spans="1:3" ht="22.5">
      <c r="A35">
        <f t="shared" si="9"/>
        <v>11</v>
      </c>
      <c r="B35" t="s">
        <v>1479</v>
      </c>
      <c r="C35" s="6" t="str">
        <f t="shared" si="8"/>
        <v>// TIEMPO ORDINARIO - SEMANA 11 DOMINGO</v>
      </c>
    </row>
    <row r="36" spans="1:3" ht="22.5">
      <c r="A36">
        <f t="shared" si="9"/>
        <v>12</v>
      </c>
      <c r="B36" t="s">
        <v>1479</v>
      </c>
      <c r="C36" s="6" t="str">
        <f t="shared" si="8"/>
        <v>// TIEMPO ORDINARIO - SEMANA 12 DOMINGO</v>
      </c>
    </row>
    <row r="37" spans="1:3" ht="22.5">
      <c r="A37">
        <f t="shared" si="9"/>
        <v>13</v>
      </c>
      <c r="B37" t="s">
        <v>1479</v>
      </c>
      <c r="C37" s="6" t="str">
        <f t="shared" si="8"/>
        <v>// TIEMPO ORDINARIO - SEMANA 13 DOMINGO</v>
      </c>
    </row>
    <row r="38" spans="1:3" ht="22.5">
      <c r="A38">
        <f t="shared" si="9"/>
        <v>14</v>
      </c>
      <c r="B38" t="s">
        <v>1479</v>
      </c>
      <c r="C38" s="6" t="str">
        <f t="shared" si="8"/>
        <v>// TIEMPO ORDINARIO - SEMANA 14 DOMINGO</v>
      </c>
    </row>
    <row r="39" spans="1:3" ht="22.5">
      <c r="A39">
        <f t="shared" si="9"/>
        <v>15</v>
      </c>
      <c r="B39" t="s">
        <v>1479</v>
      </c>
      <c r="C39" s="6" t="str">
        <f t="shared" si="8"/>
        <v>// TIEMPO ORDINARIO - SEMANA 15 DOMINGO</v>
      </c>
    </row>
    <row r="40" spans="1:3" ht="22.5">
      <c r="A40">
        <f t="shared" si="9"/>
        <v>16</v>
      </c>
      <c r="B40" t="s">
        <v>1479</v>
      </c>
      <c r="C40" s="6" t="str">
        <f t="shared" si="8"/>
        <v>// TIEMPO ORDINARIO - SEMANA 16 DOMINGO</v>
      </c>
    </row>
    <row r="41" spans="1:3" ht="22.5">
      <c r="A41">
        <f t="shared" si="9"/>
        <v>17</v>
      </c>
      <c r="B41" t="s">
        <v>1479</v>
      </c>
      <c r="C41" s="6" t="str">
        <f t="shared" si="8"/>
        <v>// TIEMPO ORDINARIO - SEMANA 17 DOMINGO</v>
      </c>
    </row>
    <row r="42" spans="1:3" ht="22.5">
      <c r="A42">
        <f t="shared" si="9"/>
        <v>18</v>
      </c>
      <c r="B42" t="s">
        <v>1479</v>
      </c>
      <c r="C42" s="6" t="str">
        <f t="shared" si="8"/>
        <v>// TIEMPO ORDINARIO - SEMANA 18 DOMINGO</v>
      </c>
    </row>
    <row r="43" spans="1:3" ht="22.5">
      <c r="A43">
        <f t="shared" si="9"/>
        <v>19</v>
      </c>
      <c r="B43" t="s">
        <v>1479</v>
      </c>
      <c r="C43" s="6" t="str">
        <f t="shared" si="8"/>
        <v>// TIEMPO ORDINARIO - SEMANA 19 DOMINGO</v>
      </c>
    </row>
    <row r="44" spans="1:3" ht="22.5">
      <c r="A44">
        <f t="shared" si="9"/>
        <v>20</v>
      </c>
      <c r="B44" t="s">
        <v>1479</v>
      </c>
      <c r="C44" s="6" t="str">
        <f t="shared" si="8"/>
        <v>// TIEMPO ORDINARIO - SEMANA 20 DOMINGO</v>
      </c>
    </row>
    <row r="45" spans="1:3" ht="22.5">
      <c r="A45">
        <f t="shared" si="9"/>
        <v>21</v>
      </c>
      <c r="B45" t="s">
        <v>1479</v>
      </c>
      <c r="C45" s="6" t="str">
        <f t="shared" si="8"/>
        <v>// TIEMPO ORDINARIO - SEMANA 21 DOMINGO</v>
      </c>
    </row>
    <row r="46" spans="1:3" ht="22.5">
      <c r="A46">
        <f t="shared" si="9"/>
        <v>22</v>
      </c>
      <c r="B46" t="s">
        <v>1479</v>
      </c>
      <c r="C46" s="6" t="str">
        <f t="shared" si="8"/>
        <v>// TIEMPO ORDINARIO - SEMANA 22 DOMINGO</v>
      </c>
    </row>
    <row r="47" spans="1:3" ht="22.5">
      <c r="A47">
        <f t="shared" si="9"/>
        <v>23</v>
      </c>
      <c r="B47" t="s">
        <v>1479</v>
      </c>
      <c r="C47" s="6" t="str">
        <f t="shared" si="8"/>
        <v>// TIEMPO ORDINARIO - SEMANA 23 DOMINGO</v>
      </c>
    </row>
    <row r="48" spans="1:3" ht="22.5">
      <c r="A48">
        <f t="shared" si="9"/>
        <v>24</v>
      </c>
      <c r="B48" t="s">
        <v>1479</v>
      </c>
      <c r="C48" s="6" t="str">
        <f t="shared" si="8"/>
        <v>// TIEMPO ORDINARIO - SEMANA 24 DOMINGO</v>
      </c>
    </row>
    <row r="49" spans="1:3" ht="22.5">
      <c r="A49">
        <f t="shared" si="9"/>
        <v>25</v>
      </c>
      <c r="B49" t="s">
        <v>1479</v>
      </c>
      <c r="C49" s="6" t="str">
        <f t="shared" si="8"/>
        <v>// TIEMPO ORDINARIO - SEMANA 25 DOMINGO</v>
      </c>
    </row>
    <row r="50" spans="1:3" ht="22.5">
      <c r="A50">
        <f t="shared" si="9"/>
        <v>26</v>
      </c>
      <c r="B50" t="s">
        <v>1479</v>
      </c>
      <c r="C50" s="6" t="str">
        <f t="shared" si="8"/>
        <v>// TIEMPO ORDINARIO - SEMANA 26 DOMINGO</v>
      </c>
    </row>
    <row r="51" spans="1:3" ht="22.5">
      <c r="A51">
        <f t="shared" si="9"/>
        <v>27</v>
      </c>
      <c r="B51" t="s">
        <v>1479</v>
      </c>
      <c r="C51" s="6" t="str">
        <f t="shared" si="8"/>
        <v>// TIEMPO ORDINARIO - SEMANA 27 DOMINGO</v>
      </c>
    </row>
    <row r="52" spans="1:3" ht="22.5">
      <c r="A52">
        <f t="shared" si="9"/>
        <v>28</v>
      </c>
      <c r="B52" t="s">
        <v>1479</v>
      </c>
      <c r="C52" s="6" t="str">
        <f t="shared" si="8"/>
        <v>// TIEMPO ORDINARIO - SEMANA 28 DOMINGO</v>
      </c>
    </row>
    <row r="53" spans="1:3" ht="22.5">
      <c r="A53">
        <f t="shared" si="9"/>
        <v>29</v>
      </c>
      <c r="B53" t="s">
        <v>1479</v>
      </c>
      <c r="C53" s="6" t="str">
        <f t="shared" si="8"/>
        <v>// TIEMPO ORDINARIO - SEMANA 29 DOMINGO</v>
      </c>
    </row>
    <row r="54" spans="1:3" ht="22.5">
      <c r="A54">
        <f t="shared" si="9"/>
        <v>30</v>
      </c>
      <c r="B54" t="s">
        <v>1479</v>
      </c>
      <c r="C54" s="6" t="str">
        <f t="shared" si="8"/>
        <v>// TIEMPO ORDINARIO - SEMANA 30 DOMINGO</v>
      </c>
    </row>
    <row r="55" spans="1:3" ht="22.5">
      <c r="A55">
        <f t="shared" si="9"/>
        <v>31</v>
      </c>
      <c r="B55" t="s">
        <v>1479</v>
      </c>
      <c r="C55" s="6" t="str">
        <f t="shared" si="8"/>
        <v>// TIEMPO ORDINARIO - SEMANA 31 DOMINGO</v>
      </c>
    </row>
    <row r="56" spans="1:3" ht="22.5">
      <c r="A56">
        <f t="shared" si="9"/>
        <v>32</v>
      </c>
      <c r="B56" t="s">
        <v>1479</v>
      </c>
      <c r="C56" s="6" t="str">
        <f t="shared" si="8"/>
        <v>// TIEMPO ORDINARIO - SEMANA 32 DOMINGO</v>
      </c>
    </row>
    <row r="57" spans="1:3" ht="22.5">
      <c r="A57">
        <f t="shared" si="9"/>
        <v>33</v>
      </c>
      <c r="B57" t="s">
        <v>1479</v>
      </c>
      <c r="C57" s="6" t="str">
        <f t="shared" si="8"/>
        <v>// TIEMPO ORDINARIO - SEMANA 33 DOMINGO</v>
      </c>
    </row>
    <row r="58" spans="1:3" ht="22.5">
      <c r="A58">
        <f t="shared" si="9"/>
        <v>34</v>
      </c>
      <c r="B58" t="s">
        <v>1479</v>
      </c>
      <c r="C58" s="6" t="str">
        <f t="shared" si="8"/>
        <v>// TIEMPO ORDINARIO - SEMANA 34 DOMINGO</v>
      </c>
    </row>
    <row r="59" spans="1:3" ht="22.5">
      <c r="C59" s="6"/>
    </row>
    <row r="60" spans="1:3" ht="22.5">
      <c r="A60">
        <v>1</v>
      </c>
      <c r="B60" t="s">
        <v>1479</v>
      </c>
      <c r="C60" s="6" t="str">
        <f>_xlfn.CONCAT("// TIEMPO ADVIENTO - SEMANA ",A60," ",B60)</f>
        <v>// TIEMPO ADVIENTO - SEMANA 1 DOMINGO</v>
      </c>
    </row>
    <row r="61" spans="1:3" ht="22.5">
      <c r="A61">
        <f>+A60+1</f>
        <v>2</v>
      </c>
      <c r="B61" t="s">
        <v>1479</v>
      </c>
      <c r="C61" s="6" t="str">
        <f t="shared" ref="C61:C72" si="10">_xlfn.CONCAT("// TIEMPO ADVIENTO - SEMANA ",A61," ",B61)</f>
        <v>// TIEMPO ADVIENTO - SEMANA 2 DOMINGO</v>
      </c>
    </row>
    <row r="62" spans="1:3" ht="22.5">
      <c r="A62">
        <f t="shared" ref="A62:A72" si="11">+A61+1</f>
        <v>3</v>
      </c>
      <c r="B62" t="s">
        <v>1479</v>
      </c>
      <c r="C62" s="6" t="str">
        <f t="shared" si="10"/>
        <v>// TIEMPO ADVIENTO - SEMANA 3 DOMINGO</v>
      </c>
    </row>
    <row r="63" spans="1:3" ht="22.5">
      <c r="A63">
        <f t="shared" si="11"/>
        <v>4</v>
      </c>
      <c r="B63" t="s">
        <v>1479</v>
      </c>
      <c r="C63" s="6" t="str">
        <f t="shared" si="10"/>
        <v>// TIEMPO ADVIENTO - SEMANA 4 DOMINGO</v>
      </c>
    </row>
    <row r="64" spans="1:3" ht="22.5">
      <c r="A64">
        <f t="shared" si="11"/>
        <v>5</v>
      </c>
      <c r="B64" t="s">
        <v>1479</v>
      </c>
      <c r="C64" s="6" t="str">
        <f t="shared" si="10"/>
        <v>// TIEMPO ADVIENTO - SEMANA 5 DOMINGO</v>
      </c>
    </row>
    <row r="65" spans="1:3" ht="22.5">
      <c r="A65">
        <f t="shared" si="11"/>
        <v>6</v>
      </c>
      <c r="B65" t="s">
        <v>1479</v>
      </c>
      <c r="C65" s="6" t="str">
        <f t="shared" si="10"/>
        <v>// TIEMPO ADVIENTO - SEMANA 6 DOMINGO</v>
      </c>
    </row>
    <row r="66" spans="1:3" ht="22.5">
      <c r="A66">
        <f t="shared" si="11"/>
        <v>7</v>
      </c>
      <c r="B66" t="s">
        <v>1479</v>
      </c>
      <c r="C66" s="6" t="str">
        <f t="shared" si="10"/>
        <v>// TIEMPO ADVIENTO - SEMANA 7 DOMINGO</v>
      </c>
    </row>
    <row r="67" spans="1:3" ht="22.5">
      <c r="A67">
        <f t="shared" si="11"/>
        <v>8</v>
      </c>
      <c r="B67" t="s">
        <v>1479</v>
      </c>
      <c r="C67" s="6" t="str">
        <f t="shared" si="10"/>
        <v>// TIEMPO ADVIENTO - SEMANA 8 DOMINGO</v>
      </c>
    </row>
    <row r="68" spans="1:3" ht="22.5">
      <c r="A68">
        <f t="shared" si="11"/>
        <v>9</v>
      </c>
      <c r="B68" t="s">
        <v>1479</v>
      </c>
      <c r="C68" s="6" t="str">
        <f t="shared" si="10"/>
        <v>// TIEMPO ADVIENTO - SEMANA 9 DOMINGO</v>
      </c>
    </row>
    <row r="69" spans="1:3" ht="22.5">
      <c r="A69">
        <f t="shared" si="11"/>
        <v>10</v>
      </c>
      <c r="B69" t="s">
        <v>1479</v>
      </c>
      <c r="C69" s="6" t="str">
        <f t="shared" si="10"/>
        <v>// TIEMPO ADVIENTO - SEMANA 10 DOMINGO</v>
      </c>
    </row>
    <row r="70" spans="1:3" ht="22.5">
      <c r="A70">
        <f t="shared" si="11"/>
        <v>11</v>
      </c>
      <c r="B70" t="s">
        <v>1479</v>
      </c>
      <c r="C70" s="6" t="str">
        <f t="shared" si="10"/>
        <v>// TIEMPO ADVIENTO - SEMANA 11 DOMINGO</v>
      </c>
    </row>
    <row r="71" spans="1:3" ht="22.5">
      <c r="A71">
        <f t="shared" si="11"/>
        <v>12</v>
      </c>
      <c r="B71" t="s">
        <v>1479</v>
      </c>
      <c r="C71" s="6" t="str">
        <f t="shared" si="10"/>
        <v>// TIEMPO ADVIENTO - SEMANA 12 DOMINGO</v>
      </c>
    </row>
    <row r="72" spans="1:3" ht="22.5">
      <c r="A72">
        <f t="shared" si="11"/>
        <v>13</v>
      </c>
      <c r="B72" t="s">
        <v>1479</v>
      </c>
      <c r="C72" s="6" t="str">
        <f t="shared" si="10"/>
        <v>// TIEMPO ADVIENTO - SEMANA 13 DOMINGO</v>
      </c>
    </row>
    <row r="75" spans="1:3" ht="22.5">
      <c r="A75">
        <v>1</v>
      </c>
      <c r="B75" t="s">
        <v>1479</v>
      </c>
      <c r="C75" s="6" t="str">
        <f>_xlfn.CONCAT("// TIEMPO DE CUARESMA - SEMANA ",A75," ",B75)</f>
        <v>// TIEMPO DE CUARESMA - SEMANA 1 DOMINGO</v>
      </c>
    </row>
    <row r="76" spans="1:3" ht="22.5">
      <c r="A76">
        <f>+A75+1</f>
        <v>2</v>
      </c>
      <c r="B76" t="s">
        <v>1479</v>
      </c>
      <c r="C76" s="6" t="str">
        <f>_xlfn.CONCAT("// TIEMPO DE CUARESMA - SEMANA ",A76," ",B76)</f>
        <v>// TIEMPO DE CUARESMA - SEMANA 2 DOMINGO</v>
      </c>
    </row>
    <row r="77" spans="1:3" ht="22.5">
      <c r="A77">
        <f t="shared" ref="A77:A80" si="12">+A76+1</f>
        <v>3</v>
      </c>
      <c r="B77" t="s">
        <v>1479</v>
      </c>
      <c r="C77" s="6" t="str">
        <f t="shared" ref="C77:C80" si="13">_xlfn.CONCAT("// TIEMPO DE CUARESMA - SEMANA ",A77," ",B77)</f>
        <v>// TIEMPO DE CUARESMA - SEMANA 3 DOMINGO</v>
      </c>
    </row>
    <row r="78" spans="1:3" ht="22.5">
      <c r="A78">
        <f t="shared" si="12"/>
        <v>4</v>
      </c>
      <c r="B78" t="s">
        <v>1479</v>
      </c>
      <c r="C78" s="6" t="str">
        <f t="shared" si="13"/>
        <v>// TIEMPO DE CUARESMA - SEMANA 4 DOMINGO</v>
      </c>
    </row>
    <row r="79" spans="1:3" ht="22.5">
      <c r="A79">
        <f t="shared" si="12"/>
        <v>5</v>
      </c>
      <c r="B79" t="s">
        <v>1479</v>
      </c>
      <c r="C79" s="6" t="str">
        <f t="shared" si="13"/>
        <v>// TIEMPO DE CUARESMA - SEMANA 5 DOMINGO</v>
      </c>
    </row>
    <row r="80" spans="1:3" ht="22.5">
      <c r="A80">
        <f t="shared" si="12"/>
        <v>6</v>
      </c>
      <c r="B80" t="s">
        <v>1479</v>
      </c>
      <c r="C80" s="6" t="str">
        <f t="shared" si="13"/>
        <v>// TIEMPO DE CUARESMA - SEMANA 6 DOMINGO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Resumen</vt:lpstr>
      <vt:lpstr>Calendario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2026-07-17T19:22:48Z</dcterms:created>
  <dcterms:modified xsi:type="dcterms:W3CDTF">2026-07-27T21:53:09Z</dcterms:modified>
</cp:coreProperties>
</file>