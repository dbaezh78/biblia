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biblia\src\doc\"/>
    </mc:Choice>
  </mc:AlternateContent>
  <xr:revisionPtr revIDLastSave="0" documentId="13_ncr:1_{2AC8272D-78A6-40E5-8582-C7CA2013FBB9}" xr6:coauthVersionLast="47" xr6:coauthVersionMax="47" xr10:uidLastSave="{00000000-0000-0000-0000-000000000000}"/>
  <bookViews>
    <workbookView xWindow="38280" yWindow="2205" windowWidth="51840" windowHeight="21120" activeTab="1" xr2:uid="{50C77ACD-27A8-4560-9522-4B1F3607ED0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2" l="1"/>
  <c r="B6" i="2"/>
  <c r="B5" i="2"/>
  <c r="B4" i="2"/>
  <c r="B3" i="2"/>
  <c r="B2" i="2"/>
  <c r="B8" i="2"/>
  <c r="H13" i="2"/>
  <c r="H12" i="2"/>
  <c r="H11" i="2"/>
  <c r="H10" i="2"/>
  <c r="H9" i="2"/>
  <c r="H8" i="2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21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  <c r="G2" i="1"/>
  <c r="G6" i="1"/>
  <c r="B9" i="2" l="1"/>
  <c r="B10" i="2" l="1"/>
  <c r="B11" i="2" l="1"/>
  <c r="B12" i="2" l="1"/>
  <c r="B13" i="2" l="1"/>
  <c r="B14" i="2" l="1"/>
  <c r="B15" i="2" l="1"/>
  <c r="B16" i="2" l="1"/>
  <c r="B17" i="2" l="1"/>
  <c r="B18" i="2" l="1"/>
  <c r="B19" i="2" l="1"/>
  <c r="B20" i="2" l="1"/>
  <c r="B21" i="2" l="1"/>
  <c r="B22" i="2" l="1"/>
  <c r="B23" i="2" l="1"/>
  <c r="B24" i="2" l="1"/>
  <c r="B25" i="2" l="1"/>
  <c r="B26" i="2" l="1"/>
  <c r="B27" i="2" l="1"/>
  <c r="B28" i="2" l="1"/>
  <c r="B29" i="2" l="1"/>
  <c r="B30" i="2" l="1"/>
  <c r="B31" i="2" l="1"/>
  <c r="B32" i="2" l="1"/>
  <c r="B33" i="2" l="1"/>
  <c r="B34" i="2" l="1"/>
  <c r="B35" i="2" l="1"/>
  <c r="B36" i="2" l="1"/>
  <c r="B37" i="2" l="1"/>
  <c r="B38" i="2" l="1"/>
  <c r="B39" i="2" l="1"/>
  <c r="B40" i="2" l="1"/>
  <c r="B41" i="2" l="1"/>
  <c r="B42" i="2" l="1"/>
  <c r="B43" i="2" l="1"/>
  <c r="B44" i="2" l="1"/>
  <c r="B45" i="2" l="1"/>
  <c r="B46" i="2" l="1"/>
  <c r="B47" i="2" l="1"/>
  <c r="B48" i="2" l="1"/>
  <c r="B49" i="2" l="1"/>
  <c r="B50" i="2" l="1"/>
  <c r="B51" i="2" l="1"/>
  <c r="B52" i="2" l="1"/>
  <c r="B53" i="2" l="1"/>
  <c r="B54" i="2" l="1"/>
  <c r="B55" i="2" l="1"/>
  <c r="B56" i="2" l="1"/>
  <c r="B57" i="2" l="1"/>
  <c r="B58" i="2" l="1"/>
  <c r="B59" i="2" l="1"/>
  <c r="B60" i="2" l="1"/>
  <c r="B61" i="2" l="1"/>
  <c r="B62" i="2" l="1"/>
  <c r="B63" i="2" l="1"/>
  <c r="B64" i="2" l="1"/>
  <c r="B65" i="2" l="1"/>
  <c r="B66" i="2" l="1"/>
  <c r="B67" i="2" l="1"/>
  <c r="B68" i="2" l="1"/>
  <c r="B69" i="2" l="1"/>
  <c r="B70" i="2" l="1"/>
  <c r="B71" i="2" l="1"/>
  <c r="B72" i="2" l="1"/>
  <c r="B73" i="2" l="1"/>
  <c r="B74" i="2" l="1"/>
  <c r="B75" i="2" l="1"/>
  <c r="B76" i="2" l="1"/>
  <c r="B77" i="2" l="1"/>
  <c r="B78" i="2" l="1"/>
  <c r="B79" i="2" l="1"/>
  <c r="B80" i="2" l="1"/>
  <c r="B81" i="2" l="1"/>
  <c r="B82" i="2" l="1"/>
  <c r="B83" i="2" l="1"/>
  <c r="B84" i="2" l="1"/>
  <c r="B85" i="2" l="1"/>
  <c r="B86" i="2" l="1"/>
  <c r="B87" i="2" l="1"/>
  <c r="B88" i="2" l="1"/>
  <c r="B89" i="2" l="1"/>
  <c r="B90" i="2" l="1"/>
  <c r="B91" i="2" l="1"/>
  <c r="B92" i="2" l="1"/>
  <c r="B93" i="2" l="1"/>
  <c r="B94" i="2" l="1"/>
  <c r="B95" i="2" l="1"/>
  <c r="B96" i="2" l="1"/>
  <c r="B97" i="2" l="1"/>
  <c r="B98" i="2" l="1"/>
  <c r="B99" i="2" l="1"/>
  <c r="B100" i="2" l="1"/>
  <c r="B101" i="2" l="1"/>
  <c r="B102" i="2" l="1"/>
  <c r="B103" i="2" l="1"/>
  <c r="B104" i="2" l="1"/>
  <c r="B105" i="2" l="1"/>
  <c r="B106" i="2" l="1"/>
  <c r="B107" i="2" l="1"/>
  <c r="B108" i="2" l="1"/>
  <c r="B109" i="2" l="1"/>
  <c r="B110" i="2" l="1"/>
  <c r="B111" i="2" l="1"/>
  <c r="B112" i="2" l="1"/>
  <c r="B113" i="2" l="1"/>
  <c r="B114" i="2" l="1"/>
  <c r="B115" i="2" l="1"/>
  <c r="B116" i="2" l="1"/>
  <c r="B117" i="2" l="1"/>
  <c r="B118" i="2" l="1"/>
  <c r="B119" i="2" l="1"/>
  <c r="B120" i="2" l="1"/>
  <c r="B121" i="2" l="1"/>
  <c r="B122" i="2" l="1"/>
  <c r="B123" i="2" l="1"/>
  <c r="B124" i="2" l="1"/>
  <c r="B125" i="2" l="1"/>
  <c r="B126" i="2" l="1"/>
  <c r="B127" i="2" l="1"/>
  <c r="B128" i="2" l="1"/>
  <c r="B129" i="2" l="1"/>
  <c r="B130" i="2" l="1"/>
  <c r="B131" i="2" l="1"/>
  <c r="B132" i="2" l="1"/>
  <c r="B133" i="2" l="1"/>
  <c r="B134" i="2" l="1"/>
  <c r="B135" i="2" l="1"/>
  <c r="B136" i="2" l="1"/>
  <c r="B137" i="2" l="1"/>
  <c r="B138" i="2" l="1"/>
  <c r="B139" i="2" l="1"/>
  <c r="B140" i="2" l="1"/>
  <c r="B141" i="2" l="1"/>
  <c r="B142" i="2" l="1"/>
  <c r="B143" i="2" l="1"/>
  <c r="B144" i="2" l="1"/>
  <c r="B145" i="2" l="1"/>
  <c r="B146" i="2" l="1"/>
  <c r="B147" i="2" l="1"/>
  <c r="B148" i="2" l="1"/>
  <c r="B149" i="2" l="1"/>
  <c r="B150" i="2" l="1"/>
  <c r="B151" i="2" l="1"/>
  <c r="B152" i="2" l="1"/>
  <c r="B153" i="2" l="1"/>
  <c r="B154" i="2" l="1"/>
  <c r="B155" i="2" l="1"/>
  <c r="B156" i="2" l="1"/>
  <c r="B157" i="2" l="1"/>
  <c r="B158" i="2" l="1"/>
  <c r="B159" i="2" l="1"/>
  <c r="B160" i="2" l="1"/>
  <c r="B161" i="2" l="1"/>
  <c r="B162" i="2" l="1"/>
  <c r="B163" i="2" l="1"/>
  <c r="B164" i="2" l="1"/>
  <c r="B165" i="2" l="1"/>
  <c r="B166" i="2" l="1"/>
  <c r="B167" i="2" l="1"/>
  <c r="B168" i="2" l="1"/>
  <c r="B169" i="2" l="1"/>
  <c r="B170" i="2" l="1"/>
  <c r="B171" i="2" l="1"/>
  <c r="B172" i="2" l="1"/>
  <c r="B173" i="2" l="1"/>
  <c r="B174" i="2" l="1"/>
  <c r="B175" i="2" l="1"/>
  <c r="B176" i="2" l="1"/>
  <c r="B177" i="2" l="1"/>
  <c r="B178" i="2" l="1"/>
  <c r="B179" i="2" l="1"/>
  <c r="B180" i="2" l="1"/>
  <c r="B181" i="2" l="1"/>
  <c r="B182" i="2" l="1"/>
  <c r="B183" i="2" l="1"/>
  <c r="B184" i="2" l="1"/>
  <c r="B185" i="2" l="1"/>
  <c r="B186" i="2" l="1"/>
  <c r="B187" i="2" l="1"/>
  <c r="B188" i="2" l="1"/>
  <c r="B189" i="2" l="1"/>
  <c r="B190" i="2" l="1"/>
  <c r="B191" i="2" l="1"/>
  <c r="B192" i="2" l="1"/>
  <c r="B193" i="2" l="1"/>
  <c r="B194" i="2" l="1"/>
  <c r="B195" i="2" l="1"/>
  <c r="B196" i="2" l="1"/>
  <c r="B197" i="2" l="1"/>
  <c r="B198" i="2" l="1"/>
  <c r="B199" i="2" l="1"/>
  <c r="B200" i="2" l="1"/>
  <c r="B201" i="2" l="1"/>
  <c r="B202" i="2" l="1"/>
  <c r="B203" i="2" l="1"/>
  <c r="B205" i="2" l="1"/>
  <c r="B204" i="2"/>
</calcChain>
</file>

<file path=xl/sharedStrings.xml><?xml version="1.0" encoding="utf-8"?>
<sst xmlns="http://schemas.openxmlformats.org/spreadsheetml/2006/main" count="1227" uniqueCount="825">
  <si>
    <t>Domingo 1º de Adviento</t>
  </si>
  <si>
    <t>Tiempo</t>
  </si>
  <si>
    <t>Isaías  2, 1-5</t>
  </si>
  <si>
    <t>Primera Lectura</t>
  </si>
  <si>
    <t>Salmo responsorial</t>
  </si>
  <si>
    <t>Segunda Lectura</t>
  </si>
  <si>
    <t>Sal 84,8</t>
  </si>
  <si>
    <t xml:space="preserve">Aleluya </t>
  </si>
  <si>
    <t>Evangelio</t>
  </si>
  <si>
    <t>Mateo 24, 37-44</t>
  </si>
  <si>
    <t>Romanos 13, 11-14a</t>
  </si>
  <si>
    <t>Salmo 121, 1-2. 4-5. 6-7. 8-9</t>
  </si>
  <si>
    <t>Isaías: 11, 1-10</t>
  </si>
  <si>
    <t>Domingo 2º de Adviento</t>
  </si>
  <si>
    <t>Salmo 71, 1-2. 7-8. 12-13. 17</t>
  </si>
  <si>
    <t>Romanos: 15, 4-9</t>
  </si>
  <si>
    <t>Lc 3,4.6</t>
  </si>
  <si>
    <t>Mateo: 3, 1-12</t>
  </si>
  <si>
    <t>Isaías 35, 1-6a. 10</t>
  </si>
  <si>
    <t>Domingo 3º de Adviento</t>
  </si>
  <si>
    <t>Salmo 145, 7. 8-9a. 9bc-10</t>
  </si>
  <si>
    <t>Santiago 5, 7-10</t>
  </si>
  <si>
    <t>Lc 4, 18</t>
  </si>
  <si>
    <t>Mateo 11, 2-11</t>
  </si>
  <si>
    <t>Domingo 4º de Adviento</t>
  </si>
  <si>
    <t>Isaías 7, 10-14</t>
  </si>
  <si>
    <t>Salmo 23, 1-2. 3-4ab. 5-6</t>
  </si>
  <si>
    <t>Romanos 1, 1-7</t>
  </si>
  <si>
    <t>Mt 1, 23</t>
  </si>
  <si>
    <t>Mateo 1, 18-24</t>
  </si>
  <si>
    <t>Ciclo</t>
  </si>
  <si>
    <t>A</t>
  </si>
  <si>
    <t>A,B,C</t>
  </si>
  <si>
    <t>Natividad del Señor - Misa de la vigilia</t>
  </si>
  <si>
    <t>Isaías 62, 1-5</t>
  </si>
  <si>
    <t>Salmo 88, 4-5. 16-17. 27 y 29</t>
  </si>
  <si>
    <t>Hechos de los apóstoles 13, 16-17. 22-25</t>
  </si>
  <si>
    <t>Mateo 1, 1-25</t>
  </si>
  <si>
    <t>Mañana quedará borrada la maldad de la tierra,
y será nuestro rey el Salvador del mundo</t>
  </si>
  <si>
    <t>Mateo 1, 18-25</t>
  </si>
  <si>
    <t>Natividad del Señor - Misa de medianoche</t>
  </si>
  <si>
    <t>Isaías 9, 1-3. 5-6</t>
  </si>
  <si>
    <t>Salmo 95, 1-2a. 2b-3. 11-12. 13</t>
  </si>
  <si>
    <t>Tito 2, 11-14</t>
  </si>
  <si>
    <t>Lc 2, 10-11</t>
  </si>
  <si>
    <t>Lucas 2, 1-14</t>
  </si>
  <si>
    <t>Natividad del Señor - Misa de la aurora</t>
  </si>
  <si>
    <t>Isaías 62, 11-12</t>
  </si>
  <si>
    <t>Salmo 96, 1 y 6. 11-12</t>
  </si>
  <si>
    <t>Pablo a Tito 3, 4-7</t>
  </si>
  <si>
    <t>Lc 2, 14</t>
  </si>
  <si>
    <t>Lucas 2, 15-20</t>
  </si>
  <si>
    <t>Natividad del Señor - Misa del día</t>
  </si>
  <si>
    <t>Isaías 52, 7-10</t>
  </si>
  <si>
    <t>Salmo 97, 1. 2-3ab. 3cd-4. 5-6</t>
  </si>
  <si>
    <t>Hebreos 1, 1-6</t>
  </si>
  <si>
    <t>Nos ha amanecido un día sagrado;
venid, naciones, adorad al Señor,
porque hoy una gran luz ha bajado a la tierra.</t>
  </si>
  <si>
    <t>Juan 1, 1-18</t>
  </si>
  <si>
    <t>Juan 1, 1-5. 9-14</t>
  </si>
  <si>
    <t>La Sagrada Familia</t>
  </si>
  <si>
    <t>Sirácida 3, 2-6. 12-14</t>
  </si>
  <si>
    <t>Salmo 127, 1-2. 3. 4-5</t>
  </si>
  <si>
    <t>Colosenses 3, 12-21</t>
  </si>
  <si>
    <t>Col 3, 15a. 16a</t>
  </si>
  <si>
    <t>Mateo 2, 13-15. 19-23</t>
  </si>
  <si>
    <t>Números 6, 22-27</t>
  </si>
  <si>
    <t>1 Enero</t>
  </si>
  <si>
    <t>Santa María Madre de Dios</t>
  </si>
  <si>
    <t>Salmo 66, 2-3. 5. 6 y 8</t>
  </si>
  <si>
    <t>Gálatas 4, 4-7</t>
  </si>
  <si>
    <t>Hb 1, 1-2</t>
  </si>
  <si>
    <t>Lucas 2, 16-21</t>
  </si>
  <si>
    <t>2º Domingo después de Navidad</t>
  </si>
  <si>
    <t>Sirácida 24. 1-2. 8-12</t>
  </si>
  <si>
    <t>Salmo 147, 12-13. 14-15. 19-20</t>
  </si>
  <si>
    <t>Efesios 1, 3-6. 15-18</t>
  </si>
  <si>
    <t>1Tm 3, 16</t>
  </si>
  <si>
    <t>Epifanía del Señor</t>
  </si>
  <si>
    <t>A,B,C 6 Enero</t>
  </si>
  <si>
    <t>Isaías 60, 1-6</t>
  </si>
  <si>
    <t>Salmo 71, 1-2. 7-8. 10-11. 12-13</t>
  </si>
  <si>
    <t>Efesios 3, 2-3a. 5-6</t>
  </si>
  <si>
    <t>Mateo 2, 1-12</t>
  </si>
  <si>
    <t>El Bautismo del Señor</t>
  </si>
  <si>
    <t>Isaías 42, 1-4. 6-7</t>
  </si>
  <si>
    <t>Salmo 28, 1a y 2. 3ac-4. 3b y 9b-10</t>
  </si>
  <si>
    <t>Hechos de los apóstoles 10, 34-38</t>
  </si>
  <si>
    <t>Mc 9, 7</t>
  </si>
  <si>
    <t>Mateo 3, 13-17</t>
  </si>
  <si>
    <t>Primer domingo de Cuaresma</t>
  </si>
  <si>
    <t>Génesis 2, 7-9; 3, 1-7</t>
  </si>
  <si>
    <t>Salmo 50, 3-4. 5-6a. 12-13. 14 y 17</t>
  </si>
  <si>
    <t>Romanos 5, 12-19 / Romanos 5, 12. 17-19</t>
  </si>
  <si>
    <t>My 2, 2</t>
  </si>
  <si>
    <t>Mt 4, 4</t>
  </si>
  <si>
    <t>Mateo 4, 1-11</t>
  </si>
  <si>
    <t>Segundo domingo de Cuaresma</t>
  </si>
  <si>
    <t>Génesis 12, 1-4</t>
  </si>
  <si>
    <t>Salmo 32, 4-5. 18-19. 20 y 22</t>
  </si>
  <si>
    <t>Timoteo 1, 8b-10</t>
  </si>
  <si>
    <t>En el esplendor de la nube se oyó la voz del Padre:
«Éste es mi Hijo, el amado; escuchadlo».</t>
  </si>
  <si>
    <t>Mateo 17, 1-9</t>
  </si>
  <si>
    <t>Tercer domingo de Cuaresma</t>
  </si>
  <si>
    <t>Éxodo 17, 3-7</t>
  </si>
  <si>
    <t>Salmo 94, 1-2. 6-7. 8-9</t>
  </si>
  <si>
    <t>Romanos 5, 1-2. 5-8</t>
  </si>
  <si>
    <t>Jn 4, 42. 15</t>
  </si>
  <si>
    <t>Juan 4, 5-42</t>
  </si>
  <si>
    <t>Juan 4, 5-15. 19b-26. 39a. 40-42</t>
  </si>
  <si>
    <t>Cuarto domingo de Cuaresma</t>
  </si>
  <si>
    <t>Samuel 16, 1b. 6-7. 10-13a</t>
  </si>
  <si>
    <t>Salmo 22, 1-3a. 3b-4. 5. 6</t>
  </si>
  <si>
    <t>Efesios 5, 8-14</t>
  </si>
  <si>
    <t>Jn 8,2b</t>
  </si>
  <si>
    <t>Juan 9, 1-41</t>
  </si>
  <si>
    <t>Juan 9, 1. 6-9. 13-17. 34-38</t>
  </si>
  <si>
    <t>Quinto domingo de Cuaresma</t>
  </si>
  <si>
    <t>Ezequiel 37, 12-14</t>
  </si>
  <si>
    <t>Salmo 129, 1-2. 3-4ab. 4c-6. 7-8</t>
  </si>
  <si>
    <t>Romanos 8, 8-11</t>
  </si>
  <si>
    <t>Jn 11, 25a. 26</t>
  </si>
  <si>
    <t>Juan 11, 1-45</t>
  </si>
  <si>
    <t>Juan 11, 3-7. 17. 20-27. 33b-45</t>
  </si>
  <si>
    <t>Domingo de ramos</t>
  </si>
  <si>
    <t>Mateo 21, 1-11        Isaías 50, 4-7</t>
  </si>
  <si>
    <t>Salmo 21, 8-9. 17-18a. 19-20. 23-24</t>
  </si>
  <si>
    <t>Filipenses 2, 6-11</t>
  </si>
  <si>
    <t>Flp 2, 8-9</t>
  </si>
  <si>
    <t>Mateo 26, 14—27, 66</t>
  </si>
  <si>
    <t>Jueves santo</t>
  </si>
  <si>
    <t>Éxodo 12, 1-8. 11-14</t>
  </si>
  <si>
    <t>Salmo 115, 12-13. 15-16bc. 17-18</t>
  </si>
  <si>
    <t>Corintios 11, 23-26</t>
  </si>
  <si>
    <t>Jn 13, 34</t>
  </si>
  <si>
    <t>Juan 13, 1-15</t>
  </si>
  <si>
    <t>Viernes santo</t>
  </si>
  <si>
    <t>Isaías 52, 13—53, 12</t>
  </si>
  <si>
    <t>Salmo 30, 2 y 6. 12-13. 15-16. 17 y 25</t>
  </si>
  <si>
    <t>Hebreos 4, 14-16; 5, 7-9</t>
  </si>
  <si>
    <t>Juan 18, 1—19, 42</t>
  </si>
  <si>
    <t>Vigilia Pascual</t>
  </si>
  <si>
    <t>1
Génesis 1, 1—2, 2 / Génesis 1, 1. 26-31a
Salmo 103, 1-2a. 5-6. 10 y 12. 13-14. 24 y 35a / Salmo 32, 4-5. 6-7. 12-13. 20 y 22
2
Génesis 22, 1-18 / Génesis 22, 1-2. 9a. 10-13. 15-18
Salmo 15, 5 y 8. 9-10. 11
3
Éxodo 14, 15—15, 1 / 
Salmo Éxodo 15, 1-2. 3-4. 5-6. 17-18
4
Isaías 54, 5-14
Salmo  29, 2 y 4. 5-6. 11 y 12a y 13b
5
Isaías 55, 1-11
salmo Isaías 12, 2-3. 4. 5-6
6
Baruc 3, 9-15. 32—4,4
Salmo 18, 8. 9. 10, 11
7
Ezequiel 36, 16-28
Salmo 41, 3. 5bcd; 42, 3. 4 / Isaías 12, 2-3. 4. 5-6 / Salmo 50, 12-13. 14-15. 18-19
8
Romanos 6, 3-11
Salmo 117, 1-2. 16ab-17. 22-23
Ev.
Mateo 28, 1-10</t>
  </si>
  <si>
    <t>Domingo de Pascua</t>
  </si>
  <si>
    <t>Hechos de los apóstoles 10, 34a. 37-43</t>
  </si>
  <si>
    <t>Salmo 117, 1-2. 16ab-17. 22-23</t>
  </si>
  <si>
    <t>Colosenses 3, 1-4 / Corintios 5, 6b-8</t>
  </si>
  <si>
    <t>1Cor 5, 7b-8a</t>
  </si>
  <si>
    <t>Juan 20, 1-9</t>
  </si>
  <si>
    <t>Segundo domingo de Pascua</t>
  </si>
  <si>
    <t>Hechos de los apóstoles 2, 42-47</t>
  </si>
  <si>
    <t>Salmo 117, 2-4. 13-15. 22-24</t>
  </si>
  <si>
    <t>Jn 20, 29</t>
  </si>
  <si>
    <t>Juan 20, 19-31</t>
  </si>
  <si>
    <t>Hechos de los apóstoles 2, 14. 22-33</t>
  </si>
  <si>
    <t>Salmo 15, 1-2a y 5. 7-8. 9-10. 11</t>
  </si>
  <si>
    <t>Tercer domingo de Pascua</t>
  </si>
  <si>
    <t>Pedro 1, 17-21</t>
  </si>
  <si>
    <t>Pedro: 1, 3-9</t>
  </si>
  <si>
    <t>Lc 24, 32</t>
  </si>
  <si>
    <t>Lucas 24, 13-35</t>
  </si>
  <si>
    <t>Cuarto domingo de Pascua</t>
  </si>
  <si>
    <t>Hechos de los apóstoles 2, 14a. 36-41</t>
  </si>
  <si>
    <t>Pedro 2, 20b-25</t>
  </si>
  <si>
    <t>Jn 10, 14</t>
  </si>
  <si>
    <t>Juan 10, 1-10</t>
  </si>
  <si>
    <t>Quinto domingo de Pascua</t>
  </si>
  <si>
    <t>Hechos de los apóstoles 6, 1-7</t>
  </si>
  <si>
    <t>Salmo 32, 1-2. 4-5. 18-19</t>
  </si>
  <si>
    <t>Pedro 2, 4-9</t>
  </si>
  <si>
    <t>Jn 14, 6</t>
  </si>
  <si>
    <t>Juan 14, 1-12</t>
  </si>
  <si>
    <t>Sexto domingo de Pascua</t>
  </si>
  <si>
    <t>Hechos de los apóstoles 8, 5-8. 14-17</t>
  </si>
  <si>
    <t>Salmo 65, 1-3a. 4-5. 6-7a. 16 y 20</t>
  </si>
  <si>
    <t>Pedro 3, 15-18</t>
  </si>
  <si>
    <t>Jn 14, 23</t>
  </si>
  <si>
    <t>Juan 14, 15-21</t>
  </si>
  <si>
    <t>Pedro 4, 13-16</t>
  </si>
  <si>
    <t>Séptimo domingo de Pascua</t>
  </si>
  <si>
    <t>Jn 14, 18</t>
  </si>
  <si>
    <t>La Ascensión del Señor</t>
  </si>
  <si>
    <t>Hechos de los apóstoles 1, 1-11</t>
  </si>
  <si>
    <t>Salmo 46, 2-3. 6-7. 8-9</t>
  </si>
  <si>
    <t>Efesios 1, 17-23</t>
  </si>
  <si>
    <t>Mt 28, 19.20</t>
  </si>
  <si>
    <t>Mateo 28, 16-20</t>
  </si>
  <si>
    <t>Hechos de los apóstoles 1, 12-14</t>
  </si>
  <si>
    <t>Salmo 26, 1. 4. 7-8</t>
  </si>
  <si>
    <t>Juan 17, 1-11</t>
  </si>
  <si>
    <t>Génesis 11, 1-9 / Éxodo 19, 3-8a. 16-20b / Ezequiel 37, 1-14 / Joel 3, 1-5</t>
  </si>
  <si>
    <t>Romanos 8, 22-27</t>
  </si>
  <si>
    <t>Salmo 103, 1-2a. 24. 27-28. 29bc-30</t>
  </si>
  <si>
    <t>Juan 7, 37-39</t>
  </si>
  <si>
    <t>Ven, Espíritu Santo,
llena los corazones de tus fieles
y enciende en ellos la llama de tu amor</t>
  </si>
  <si>
    <t>Domingo de Pentecostés - Vigilia</t>
  </si>
  <si>
    <t>Domingo de Pentecostés - Misa del día</t>
  </si>
  <si>
    <t>Hechos de los apóstoles: 2, 1-11</t>
  </si>
  <si>
    <t>Salmo 103, 1ab y 24ac. 29bc-30. 31 y 34</t>
  </si>
  <si>
    <t>Corintios 12, 3b-7. 12-13</t>
  </si>
  <si>
    <t>Juan 20, 19-23</t>
  </si>
  <si>
    <t>Ven, Espíritu Santo,
llena los corazones de tus fieles
y enciende en ellos la llama de tu amor.</t>
  </si>
  <si>
    <t>La Santísima Trinidad</t>
  </si>
  <si>
    <t>Éxodo: 34, 4b-6. 8-9</t>
  </si>
  <si>
    <t>Daniel 3, 52. 53. 54. 55. 56</t>
  </si>
  <si>
    <t>Corintios 13, 11-13</t>
  </si>
  <si>
    <t>Ap 1, 8</t>
  </si>
  <si>
    <t>Juan 3,1 6-18</t>
  </si>
  <si>
    <t>Deuteronomio 8, 2-3. 14b-16a</t>
  </si>
  <si>
    <t>Santísimo Cuerpo y Sangre de Cristo</t>
  </si>
  <si>
    <t>Domingo después de la Santísima Trinidad</t>
  </si>
  <si>
    <t>Corintios 10, 16-17</t>
  </si>
  <si>
    <t>Jn 6, 51</t>
  </si>
  <si>
    <t>Juan 6, 51-58</t>
  </si>
  <si>
    <t>El sagrado Corazón de Jesús</t>
  </si>
  <si>
    <t>Viernes posterior al segundo domingo después de Pentecostés</t>
  </si>
  <si>
    <t>Deuteronomio 7, 6-11</t>
  </si>
  <si>
    <t>Salmo 102. 1-2. 3-4. 6-7. 8 y 10</t>
  </si>
  <si>
    <t>Juan 4, 7-16</t>
  </si>
  <si>
    <t>Mt 11, 29ab</t>
  </si>
  <si>
    <t>Mateo 11, 25-30</t>
  </si>
  <si>
    <t>Domingo de la 2ª semana de Tiempo Ordinario</t>
  </si>
  <si>
    <t>Lectura del libro de Isaías 49, 3. 5-6</t>
  </si>
  <si>
    <t>Salmo responsorial: Salmo 39, 2 y 4ab, 7-8a. 8b-9. 10 (R.: 8a y 9a)</t>
  </si>
  <si>
    <t>Comienzo de la primera carta del apóstol san Pablo a los Corintios 1, 1-3</t>
  </si>
  <si>
    <t>Aleluya Jn 1, 14. 12b</t>
  </si>
  <si>
    <t>Domingo de la 3ª semana de Tiempo Ordinario</t>
  </si>
  <si>
    <t>Lectura del libro de Isaías 8, 23b—9, 3</t>
  </si>
  <si>
    <t>Salmo responsorial: Salmo 26, 1. 4. 13-14 (R.: 1a)</t>
  </si>
  <si>
    <t>Lectura de la primera carta del apóstol san Pablo a los Corintios 1, 10-13. 17</t>
  </si>
  <si>
    <t>Aleluya Mt 4, 23</t>
  </si>
  <si>
    <t>Juan 1, 29-34</t>
  </si>
  <si>
    <t>Mateo 4, 12-23</t>
  </si>
  <si>
    <t>Mateo 4, 12-17</t>
  </si>
  <si>
    <t>Domingo de la 4ª semana de Tiempo Ordinario</t>
  </si>
  <si>
    <t>Lectura de la profecía de Sofonías 2, 3; 3, 12-13</t>
  </si>
  <si>
    <t>Salmo responsorial: Salmo 145, 7. 8-9a. 9bc-10 (R.: Mt 5, 13)</t>
  </si>
  <si>
    <t>Lectura de la primera carta del apóstol san Pablo a los Corintios 1, 26-31</t>
  </si>
  <si>
    <t>Aleluya Mt 5, 12a</t>
  </si>
  <si>
    <t>Domingo de la 5ª semana de Tiempo Ordinario</t>
  </si>
  <si>
    <t>Lectura del libro de Isaías 58, 7-10</t>
  </si>
  <si>
    <t>Salmo responsorial: Salmo 111, 4-5. 6-7. 8a y 9 (R.: 4a)</t>
  </si>
  <si>
    <t>Lectura de la primera carta del apóstol san Pablo a los Corintios 2, 1-5</t>
  </si>
  <si>
    <t>Aleluya Jn 8, 12b</t>
  </si>
  <si>
    <t>Domingo de la 6ª semana de Tiempo Ordinario</t>
  </si>
  <si>
    <t>Lectura del libro de Sirácida 15, 16-21</t>
  </si>
  <si>
    <t>Salmo responsorial: Salmo 118, 1-2. 4-5. 17-18. 33-34 (R.: 1b)</t>
  </si>
  <si>
    <t>Lectura de la primera carta del apóstol san Pablo a los Corintios 2, 6-10</t>
  </si>
  <si>
    <t>Aleluya Mt 11, 25</t>
  </si>
  <si>
    <t>Domingo de la 7ª semana de Tiempo Ordinario</t>
  </si>
  <si>
    <t>Lectura del libro del Levítico  19, 1-2. 17-18</t>
  </si>
  <si>
    <t>Salmo responsorial: Salmo 102, 1-2. 3-4. 8 y 10. 12-13 (R.: 8a)</t>
  </si>
  <si>
    <t>Lectura de la primera carta del apóstol san Pablo a los Corintios 3, 16-23</t>
  </si>
  <si>
    <t>Aleluya 1Jn 2, 5</t>
  </si>
  <si>
    <t>Domingo de la 8ª semana de Tiempo Ordinario</t>
  </si>
  <si>
    <t>Lectura del libro de Isaías 49, 14-15</t>
  </si>
  <si>
    <t>Salmo responsorial: 61, 2-3. 6-7. 8-9ab (R.: 6a)</t>
  </si>
  <si>
    <t>Lectura de la primera carta del apóstol san Pablo a los Corintios 4, 1-5</t>
  </si>
  <si>
    <t>Aleluya Hb 4, 12</t>
  </si>
  <si>
    <t>Domingo de la 9ª semana de Tiempo Ordinario</t>
  </si>
  <si>
    <t>Lectura del libro del Deuteronomio 11, 18. 26-28. 32</t>
  </si>
  <si>
    <t>Salmo responsorial: Salmo 30, 2-3a. 3bc-4. 17 y 25 (R.: 3b)</t>
  </si>
  <si>
    <t>Lectura de la carta del apóstol san Pablo a los Romanos 3, 21-25a. 28</t>
  </si>
  <si>
    <t>Aleluya Jn 15, 5</t>
  </si>
  <si>
    <t>Domingo de la 10ª semana de Tiempo Ordinario</t>
  </si>
  <si>
    <t>Lectura de la profecía de Oseas 6, 3-6</t>
  </si>
  <si>
    <t>Salmo responsorial: Salmo 49, 1 y 8. 12-13. 14-15 (R.: 23b)</t>
  </si>
  <si>
    <t>Lectura de la carta del apóstol san Pablo a los Romanos 4, 18-25</t>
  </si>
  <si>
    <t>Aleluya Lc 4, 18</t>
  </si>
  <si>
    <t>Domingo de la 11ª semana de Tiempo Ordinario</t>
  </si>
  <si>
    <t>Lectura del libro del Éxodo 19, 2-6a</t>
  </si>
  <si>
    <t>Salmo responsorial: Salmo 99, 2. 3. 5 (R.: 3c)</t>
  </si>
  <si>
    <t>Lectura de la carta del apóstol san Pablo a los Romanos 5, 6-11</t>
  </si>
  <si>
    <t>Aleluya Mc 1, 15</t>
  </si>
  <si>
    <t>Domingo de la 12ª semana de Tiempo Ordinario</t>
  </si>
  <si>
    <t>Lectura del libro de Jeremías 20, 10-13</t>
  </si>
  <si>
    <t>Salmo responsorial: Salmo 68, 8-10. 14 y 17. 33-35 (R.: 14c)</t>
  </si>
  <si>
    <t>Lectura de la carta del apóstol san Pablo a los Romanos 5, 12-15</t>
  </si>
  <si>
    <t>Aleluya Jn 15, 26b. 27a</t>
  </si>
  <si>
    <t>Domingo de la 13ª semana de Tiempo Ordinario</t>
  </si>
  <si>
    <t>Lectura del segundo libro de los Reyes 4, 8-11. 14-16a</t>
  </si>
  <si>
    <t>Salmo responsorial: Salmo 88, 2-3. 16-17. 18-19 (R.: 2a)</t>
  </si>
  <si>
    <t>Lectura de la carta del apóstol san Pablo a los Romanos 6, 3-4. 8-11</t>
  </si>
  <si>
    <t>Aleluya 1P 2, 9</t>
  </si>
  <si>
    <t>Domingo de la 14ª semana de Tiempo Ordinario</t>
  </si>
  <si>
    <t>Lectura de la profecía de Zacarías 9, 9-10</t>
  </si>
  <si>
    <t>Salmo responsorial: Salmo 144, 1-2. 8-9. 10-11. 13cd-14 (R.: cf. 1)</t>
  </si>
  <si>
    <t>Lectura de la carta del apóstol san Pablo a los Romanos 8, 9. 11-13</t>
  </si>
  <si>
    <t>Aleluya Cf. Mt 11, 25</t>
  </si>
  <si>
    <t>Lectura del libro de Isaías 55, 10-11</t>
  </si>
  <si>
    <t>Salmo responsorial: Salmo 64, 10. 11. 12-13. 14 (R.: Lc 8, 8)</t>
  </si>
  <si>
    <t>Lectura de la carta del apóstol san Pablo a los Romanos 8, 18-23</t>
  </si>
  <si>
    <t>La semilla es la palabra de Dios, el sembrador es Cristo;
quien lo encuentra vive para siempre.</t>
  </si>
  <si>
    <t>Lectura del libro de la Sabiduría: 12, 13. 16-19</t>
  </si>
  <si>
    <t>Salmo responsorial: Salmo 85, 5-6. 9-10. 15-16a (R.: 5a)</t>
  </si>
  <si>
    <t>Lectura de la carta del apóstol san Pablo a los Romanos 8, 26-27</t>
  </si>
  <si>
    <t>Lectura del primer libro de los Reyes 3, 5. 7-12</t>
  </si>
  <si>
    <t>Salmo responsorial: Salmo 118, 57 y 72. 76-77. 127-128. 129-130 (R.: 97a)</t>
  </si>
  <si>
    <t>Lectura de la carta del apóstol san Pablo a los Romanos 8, 28-30</t>
  </si>
  <si>
    <t>Lectura del libro de Isaías 55, 1-3</t>
  </si>
  <si>
    <t>Salmo responsorial: Salmo 144, 8-9. 15-16. 17-18 (R.: cf. 16)</t>
  </si>
  <si>
    <t>Lectura de la carta del apóstol san Pablo a los Romanos 8, 35. 37-39</t>
  </si>
  <si>
    <t>Aleluya Mt 4, 4b</t>
  </si>
  <si>
    <t>Lectura del primer libro de los Reyes 19, 9a. 11-13a</t>
  </si>
  <si>
    <t>Salmo responsorial: Salmo 84, 9ab-10. 11-12. 13-14 (R.: 8)</t>
  </si>
  <si>
    <t>Lectura de la carta del apóstol san Pablo a los Romanos 9, 1-5</t>
  </si>
  <si>
    <t>Aleluya Cf. Sal 129, 5</t>
  </si>
  <si>
    <t>Lectura del libro de Isaías 56, 1. 6-7</t>
  </si>
  <si>
    <t>Salmo responsorial: Salmo 66, 2-3. 5. 6 y 8 (R.: 4)</t>
  </si>
  <si>
    <t>Lectura de la carta del apóstol san Pablo a los Romanos 11, 13-15. 29-32</t>
  </si>
  <si>
    <t>Lectura del libro de Isaías 22, 19-23</t>
  </si>
  <si>
    <t>Salmo responsorial: Salmo 137, 1-2a. 2bc-3. 6 y 8bc (R.: 8bc)</t>
  </si>
  <si>
    <t>Lectura de la carta del apóstol san Pablo a los Romanos 11, 33-36</t>
  </si>
  <si>
    <t>Aleluya Mt 16, 18</t>
  </si>
  <si>
    <t>Lectura del libro de Jeremías 20, 7-9</t>
  </si>
  <si>
    <t>Salmo responsorial: Salmo 62, 2. 3-4. 5-6. 8-9 (R.:2b)</t>
  </si>
  <si>
    <t>Lectura de la carta del apóstol san Pablo a los Romanos 12, 1-2</t>
  </si>
  <si>
    <t>Aleluya Cf. Ef 1, 17-18</t>
  </si>
  <si>
    <t>Lectura de la profecía de Ezequiel 33, 7-9</t>
  </si>
  <si>
    <t>Salmo responsorial: Salmo 94, 1-2. 6-7. 8-9 (R.: 8)</t>
  </si>
  <si>
    <t>Lectura de la carta del apóstol san Pablo a los Romanos 13, 8-10</t>
  </si>
  <si>
    <t>Aleluya 2Co 5, 19</t>
  </si>
  <si>
    <t>Lectura del libro de Sirácida 27, 33—28, 9</t>
  </si>
  <si>
    <t>Salmo responsorial: Salmo 102, 1-2. 3-4. 9-10. 11-12 (R.: 8)</t>
  </si>
  <si>
    <t>Lectura de la carta del apóstol san Pablo a los Romanos 14, 7-9</t>
  </si>
  <si>
    <t>Aleluya Jn 13, 34</t>
  </si>
  <si>
    <t>Lectura del libro de Isaías 55, 6-9</t>
  </si>
  <si>
    <t>Salmo responsorial: Salmo 144, 2-3. 8-9. 17-18 (R.: 18a)</t>
  </si>
  <si>
    <t>Lectura de la carta del apóstol san Pablo a los Filipenses 1, 20c-24. 27a</t>
  </si>
  <si>
    <t>Aleluya Cf. Hch 16, 14b</t>
  </si>
  <si>
    <t>Lectura de la profecía de Ezequiel 18, 25-28</t>
  </si>
  <si>
    <t>Salmo responsorial: Salmo 24, 4bc-5. 6-7. 8-9 (R.: 6a)</t>
  </si>
  <si>
    <t xml:space="preserve">Lectura de la carta del apóstol san Pablo a los Filipenses 2, 1-11 / Lectura de la carta del apóstol san Pablo a los Filipenses 2, 1-5
</t>
  </si>
  <si>
    <t>Aleluya Jn 10, 27</t>
  </si>
  <si>
    <t>Lectura del libro de Isaías: 5, 1-7</t>
  </si>
  <si>
    <t>Salmo responsorial: Salmo 79, 9 y 12. 13-14. 15-16. 19-20 (R.: Is 5,71)</t>
  </si>
  <si>
    <t>Lectura de la carta del apóstol san Pablo a los Filipenses 4, 6-9</t>
  </si>
  <si>
    <t>Aleluya Cf. Jn 15, 16</t>
  </si>
  <si>
    <t>Lectura del libro de Isaías 25, 6-10a</t>
  </si>
  <si>
    <t>Salmo responsorial: Salmo 22, 1-3a. 3b-4. 5. 6 (R.: 6cd)</t>
  </si>
  <si>
    <t>Lectura de la carta del apóstol san Pablo a los Filipenses 4, 12-14. 19-20</t>
  </si>
  <si>
    <t>Lectura del libro de Isaías 45, 1. 4-6</t>
  </si>
  <si>
    <t>Salmo responsorial: Salmo 95, 1 y 3. 4-5. 7-8. 9-10a y c (R.: 7b)</t>
  </si>
  <si>
    <t>Lectura de la primera carta del apóstol san Pablo a los Tesalonicenses 1, 1-5b</t>
  </si>
  <si>
    <t>Aleluya Flp 2, 15d. 16a</t>
  </si>
  <si>
    <t>Lectura del libro del Éxodo 22, 20-26</t>
  </si>
  <si>
    <t>Salmo responsorial: Salmo 17, 2-3a. 3bc-4. 47 y 51ab (R.: 2)</t>
  </si>
  <si>
    <t>Lectura de la primera carta del apóstol san Pablo a los Tesalonicenses 1, 5c-10</t>
  </si>
  <si>
    <t>Aleluya Jn 14, 23</t>
  </si>
  <si>
    <t>Lectura de la profecía de Malaquías 1, 14b—2, 2b. 8-10</t>
  </si>
  <si>
    <t>Salmo responsorial: Salmo 130, 1. 2. 3</t>
  </si>
  <si>
    <t>Lectura de la primera carta del apóstol san Pablo a los Tesalonicenses 2, 7b-9. 13</t>
  </si>
  <si>
    <t>Aleluya Mt 23, 9b. 10b</t>
  </si>
  <si>
    <t>Lectura del libro de la Sabiduría 6, 12-16</t>
  </si>
  <si>
    <t>Salmo responsorial: Salmo 62, 2. 3-4. 5-6. 7-8 (R.: 2b)</t>
  </si>
  <si>
    <t>Lectura de la primera carta del apóstol san Pablo a los Tesalonicenses 4, 13-18</t>
  </si>
  <si>
    <t>Aleluya Mt 24, 42a. 44</t>
  </si>
  <si>
    <t>Lectura del libro de los Proverbios 31, 10-13. 19-20. 30-31</t>
  </si>
  <si>
    <t>Salmo responsorial: Salmo 127, 1-2. 3. 4-5 (R.: 1a)</t>
  </si>
  <si>
    <t>Lectura de la primera carta del apóstol san Pablo a los Tesalonicenses 5, 1-6</t>
  </si>
  <si>
    <t>Aleluya Jn 15, 4a. 5b</t>
  </si>
  <si>
    <t>Lectura de la profecía de Ezequiel 34, 11-12. 15-17</t>
  </si>
  <si>
    <t>Salmo responsorial: 22, 1-2a. 2b-3. 5-6 (R.: 1)</t>
  </si>
  <si>
    <t>Lectura de la primera carta del apóstol san Pablo a los Corintios 15, 20-26. 28</t>
  </si>
  <si>
    <t>Aleluya Mc 11, 9b-10a</t>
  </si>
  <si>
    <t>Domingo de la 15ª semana de Tiempo Ordinario</t>
  </si>
  <si>
    <t>Domingo de la 16ª semana de Tiempo Ordinario</t>
  </si>
  <si>
    <t>Domingo de la 17ª semana de Tiempo Ordinario</t>
  </si>
  <si>
    <t>Domingo de la 18ª semana de Tiempo Ordinario</t>
  </si>
  <si>
    <t>Domingo de la 19ª semana de Tiempo Ordinario</t>
  </si>
  <si>
    <t>Domingo de la 20ª semana de Tiempo Ordinario</t>
  </si>
  <si>
    <t>Domingo de la 21ª semana de Tiempo Ordinario</t>
  </si>
  <si>
    <t>Domingo de la 22ª semana de Tiempo Ordinario</t>
  </si>
  <si>
    <t>Domingo de la 23ª semana de Tiempo Ordinario</t>
  </si>
  <si>
    <t>Domingo de la 24ª semana de Tiempo Ordinario</t>
  </si>
  <si>
    <t>Domingo de la 25ª semana de Tiempo Ordinario</t>
  </si>
  <si>
    <t>Domingo de la 26ª semana de Tiempo Ordinario</t>
  </si>
  <si>
    <t>Domingo de la 27ª semana de Tiempo Ordinario</t>
  </si>
  <si>
    <t>Domingo de la 28ª semana de Tiempo Ordinario</t>
  </si>
  <si>
    <t>Domingo de la 29ª semana de Tiempo Ordinario</t>
  </si>
  <si>
    <t>Domingo de la 30ª semana de Tiempo Ordinario</t>
  </si>
  <si>
    <t>Domingo de la 31ª semana de Tiempo Ordinario</t>
  </si>
  <si>
    <t>Domingo de la 32ª semana de Tiempo Ordinario</t>
  </si>
  <si>
    <t>Domingo de la 33ª semana de Tiempo Ordinario</t>
  </si>
  <si>
    <t>Domingo de la 34ª semana de Tiempo Ordinario</t>
  </si>
  <si>
    <t>Mateo 5, 1-12a</t>
  </si>
  <si>
    <t>Mateo 5, 13-16</t>
  </si>
  <si>
    <t>Mateo 5, 17-37</t>
  </si>
  <si>
    <t>Mateo 5, 20-22a. 27-28. 33-34a. 37</t>
  </si>
  <si>
    <t>Mateo 5, 38-48</t>
  </si>
  <si>
    <t>Mateo 6, 24-34</t>
  </si>
  <si>
    <t>Mateo 7, 21-27</t>
  </si>
  <si>
    <t>Mateo 9, 9-13</t>
  </si>
  <si>
    <t>Mateo 9, 36—10, 8</t>
  </si>
  <si>
    <t>Mateo 10, 26-33</t>
  </si>
  <si>
    <t>Mateo 10, 37-42</t>
  </si>
  <si>
    <t>Mateo 13, 1-23</t>
  </si>
  <si>
    <t>Mateo 13, 1-9</t>
  </si>
  <si>
    <t>Mateo 13, 24-43</t>
  </si>
  <si>
    <t>Mateo 13, 24-30</t>
  </si>
  <si>
    <t>Mateo 13, 44-52</t>
  </si>
  <si>
    <t>Mateo 13, 44-46</t>
  </si>
  <si>
    <t>Mateo 14, 13-21</t>
  </si>
  <si>
    <t>Mateo 14, 22-33</t>
  </si>
  <si>
    <t>Mateo 16, 13-20</t>
  </si>
  <si>
    <t>Mateo 16, 21-27</t>
  </si>
  <si>
    <t>Mateo 18, 15-20</t>
  </si>
  <si>
    <t>Mateo 18, 21-35</t>
  </si>
  <si>
    <t>Mateo 20, 1-16</t>
  </si>
  <si>
    <t>Mateo 21, 28-32</t>
  </si>
  <si>
    <t>Mateo 21, 33-43</t>
  </si>
  <si>
    <t>Mateo 22, 1-14</t>
  </si>
  <si>
    <t>Mateo 22, 1-10</t>
  </si>
  <si>
    <t>Mateo 22, 15-21</t>
  </si>
  <si>
    <t>Mateo 22, 34-40</t>
  </si>
  <si>
    <t>Mateo 23, 1-12</t>
  </si>
  <si>
    <t>Mateo 25, 1-13</t>
  </si>
  <si>
    <t>Mateo 25, 14-30</t>
  </si>
  <si>
    <t>Mateo 25, 14-15. 19-21</t>
  </si>
  <si>
    <t>Mateo 25, 31-46</t>
  </si>
  <si>
    <t>Mateo 15, 21-28</t>
  </si>
  <si>
    <t>Samuel 1, 1-8</t>
  </si>
  <si>
    <t>Salmo 115, 12-13. 14 y 17. 18-19</t>
  </si>
  <si>
    <t>Mc 1, 15</t>
  </si>
  <si>
    <t>Marcos 1, 14-20</t>
  </si>
  <si>
    <t>martes</t>
  </si>
  <si>
    <t>Samuel 1, 9-20</t>
  </si>
  <si>
    <t>1Samuel 2, 1. 4-5. 6-7. 8</t>
  </si>
  <si>
    <t>1Ts 2, 13</t>
  </si>
  <si>
    <t>Marcos 1, 21-28</t>
  </si>
  <si>
    <t>TO-s1-PAR</t>
  </si>
  <si>
    <t>Lunes</t>
  </si>
  <si>
    <t>Miercoles</t>
  </si>
  <si>
    <t>Jueves</t>
  </si>
  <si>
    <t>Viernes</t>
  </si>
  <si>
    <t>Sabado</t>
  </si>
  <si>
    <t>TO-s2-PAR</t>
  </si>
  <si>
    <t>1 Samuel 3, 1-10. 19-20</t>
  </si>
  <si>
    <t>Salmo 39, 2 y 5. 7-8a. 8b-9. 10</t>
  </si>
  <si>
    <t>Jn 10, 27</t>
  </si>
  <si>
    <t>san Marcos 1, 29-39</t>
  </si>
  <si>
    <t>1 Samuel 4, 1-11</t>
  </si>
  <si>
    <t>Salmo 43, 10-11. 14-15. 24-25</t>
  </si>
  <si>
    <t>Mt 4, 23</t>
  </si>
  <si>
    <t>san Marcos 1, 40-45</t>
  </si>
  <si>
    <t>1 Samuel 8, 4-7. 10-22a</t>
  </si>
  <si>
    <t>Salmo 88, 16-17. 18-19</t>
  </si>
  <si>
    <t>Lc 7, 16</t>
  </si>
  <si>
    <t>Marcos 2, 1-12</t>
  </si>
  <si>
    <t>1 Samuel 9, 1-4. 17-19; 10, 1a</t>
  </si>
  <si>
    <t>Salmo 20, 2-3. 4-5. 6-7</t>
  </si>
  <si>
    <t>Marcos 2, 13-17</t>
  </si>
  <si>
    <t>1 Samuel 1, 1-8</t>
  </si>
  <si>
    <t>1 Samuel 1, 9-20</t>
  </si>
  <si>
    <t>1 Samuel 15, 16-23</t>
  </si>
  <si>
    <t>Salmo 49, 8-9. 16bc-17. 21 y 23</t>
  </si>
  <si>
    <t>Hb 4, 12</t>
  </si>
  <si>
    <t>Marcos 2, 18-22</t>
  </si>
  <si>
    <t>1 Samuel 16, 1-13</t>
  </si>
  <si>
    <t>Salmo 88, 20. 21-22. 27-28</t>
  </si>
  <si>
    <t>Ef 1, 17-18</t>
  </si>
  <si>
    <t>Marcos 2, 23-28</t>
  </si>
  <si>
    <t>1 Samuel 17, 32-33. 37. 40-51</t>
  </si>
  <si>
    <t>Salmo 143, 1. 2. 9-10</t>
  </si>
  <si>
    <t>Marcos 3, 1-6</t>
  </si>
  <si>
    <t>1 Samuel 18, 6-9; 19, 1-7</t>
  </si>
  <si>
    <t>Salmo 55, 2-3. 9-10. 11-12. 13</t>
  </si>
  <si>
    <t>2Tm 1, 10</t>
  </si>
  <si>
    <t>Marcos 3, 7-12</t>
  </si>
  <si>
    <t>1 Samuel 24, 3-21</t>
  </si>
  <si>
    <t>Salmo 56, 2. 3-4. 6 y 11</t>
  </si>
  <si>
    <t>2Co 5, 19</t>
  </si>
  <si>
    <t>Marcos 3, 13-19</t>
  </si>
  <si>
    <t>1 Samuel 1, 1-4. 11-12. 19. 23-27</t>
  </si>
  <si>
    <t>Salmo 79, 2-3. 5-7</t>
  </si>
  <si>
    <t>Hch 16, 14</t>
  </si>
  <si>
    <t>Marcos 3, 20-21</t>
  </si>
  <si>
    <t>2 Samuel 5, 1-7. 10</t>
  </si>
  <si>
    <t>Salmo 88, 20. 21-22. 25-26</t>
  </si>
  <si>
    <t>Marcos 3, 22-30</t>
  </si>
  <si>
    <t xml:space="preserve">Salmo 23, 7. 8. 9. 10 </t>
  </si>
  <si>
    <t>2 Samuel 6, 12b-15. 17-19</t>
  </si>
  <si>
    <t>Mt 11, 25</t>
  </si>
  <si>
    <t>Marcos 3, 31-35</t>
  </si>
  <si>
    <t>2 Samuel 7, 4-17</t>
  </si>
  <si>
    <t>Salmo 88, 4-5. 27-28. 29-30</t>
  </si>
  <si>
    <t>Marcos 4, 1-20</t>
  </si>
  <si>
    <t>2 Samuel 7, 18-19. 24-29</t>
  </si>
  <si>
    <t>Salmo 131, 1-2. 3-5. 11. 12. 13-14</t>
  </si>
  <si>
    <t>Sal 118, 105</t>
  </si>
  <si>
    <t>Marcos 4, 21-25</t>
  </si>
  <si>
    <t>2 Samuel 11, 1-4a. 5-10a. 13-17</t>
  </si>
  <si>
    <t>Salmo 50, 3-4. 5-6a. 6bc-7. 10-11</t>
  </si>
  <si>
    <t>Marcos 4, 26-34</t>
  </si>
  <si>
    <t>2 Samuel 12, 1-7a. 10-17</t>
  </si>
  <si>
    <t>Salmo 50 12-13. 14-15. 16-17</t>
  </si>
  <si>
    <t>Jn 3, 16</t>
  </si>
  <si>
    <t>Marcos 4, 35-41</t>
  </si>
  <si>
    <t>2 Samuel 15, 13-14. 30; 16, 5-13</t>
  </si>
  <si>
    <t>Salmo 3, 2-3, 4-5. 6-7</t>
  </si>
  <si>
    <t>Marcos 5, 1-20</t>
  </si>
  <si>
    <t>2 Samuel 18, 9-10. 14b. 24-25a. 30—19, 3</t>
  </si>
  <si>
    <t>Salmo 85, 1-2. 3-4. 5-6</t>
  </si>
  <si>
    <t>Mt 8, 17</t>
  </si>
  <si>
    <t>Marcos 5, 21-43</t>
  </si>
  <si>
    <t>2 Samuel 24, 2. 9-17</t>
  </si>
  <si>
    <t>Salmo 31, 1-2. 5. 6. 7 </t>
  </si>
  <si>
    <t>Marcos 6, 1-6</t>
  </si>
  <si>
    <t>1 Reyes 2, 1-4. 10-12</t>
  </si>
  <si>
    <t>1Crónicas 29, 10. 11ab. 11d-12a. 12</t>
  </si>
  <si>
    <t>Marcos 6, 7-13</t>
  </si>
  <si>
    <t>Sirácida 47, 2-13</t>
  </si>
  <si>
    <t>Salmo 17, 31. 47 y 50. 51</t>
  </si>
  <si>
    <t>Lc 8, 15</t>
  </si>
  <si>
    <t>Marcos 6, 14-29</t>
  </si>
  <si>
    <t>Salmo 118, 9. 10. 11. 12. 13. 14</t>
  </si>
  <si>
    <t>1 Reyes 3, 4-13</t>
  </si>
  <si>
    <t>Marcos 6, 30-34</t>
  </si>
  <si>
    <t>1 Reyes 8, 1-7. 9-13</t>
  </si>
  <si>
    <t>Salmo 131, 6-7. 8-10</t>
  </si>
  <si>
    <t>Marcos 6, 53-56</t>
  </si>
  <si>
    <t>1 Reyes 8, 22-23. 27-30</t>
  </si>
  <si>
    <t>Salmo 83, 3. 4. 5 y 10. 11</t>
  </si>
  <si>
    <t>Sal 118, 36a. 29b</t>
  </si>
  <si>
    <t>Marcos 7, 1-13</t>
  </si>
  <si>
    <t>1 Reyes 10, 1-10</t>
  </si>
  <si>
    <t>Salmo 36, 5-6. 30-31. 39-40</t>
  </si>
  <si>
    <t>Jn 17, 17</t>
  </si>
  <si>
    <t>Marcos 7, 14-23</t>
  </si>
  <si>
    <t>1 Reyes 11 ,4-13</t>
  </si>
  <si>
    <t>Salmo 105, 3-4. 35-36. 37 y 40 </t>
  </si>
  <si>
    <t>St 1, 21</t>
  </si>
  <si>
    <t>Marcos 7, 24-30</t>
  </si>
  <si>
    <t>1 Reyes 11, 29-32; 12, 19</t>
  </si>
  <si>
    <t>Salmo 80, 10-11ab. 12-13. 14-15</t>
  </si>
  <si>
    <t>Marcos 7, 31-37</t>
  </si>
  <si>
    <t>1 Reyes 12, 26-32; 13, 33-34</t>
  </si>
  <si>
    <t>Salmo 105, 6-7a. 19-20. 21-22</t>
  </si>
  <si>
    <t>Mt 4, 4b</t>
  </si>
  <si>
    <t>Marcos 8, 1-10</t>
  </si>
  <si>
    <t>Santiago 1, 1-11</t>
  </si>
  <si>
    <t>Salmo 118, 67. 68. 71. 72. 75. 76</t>
  </si>
  <si>
    <t>Marcos 8, 11-13</t>
  </si>
  <si>
    <t>Santiago 1, 12-18</t>
  </si>
  <si>
    <t>Salmo 93, 12-13a. 14-15. 18-19 </t>
  </si>
  <si>
    <t>Marcos 8, 14-21</t>
  </si>
  <si>
    <t>Santiago 1, 19-27</t>
  </si>
  <si>
    <t>Salmo 14, 2-3ab. 3cd-4ab. 5 </t>
  </si>
  <si>
    <t>Marcos 8, 22-26</t>
  </si>
  <si>
    <t>Santiago 2, 1-9</t>
  </si>
  <si>
    <t>Salmo 33, 2-3. 4-5. 6-7</t>
  </si>
  <si>
    <t>Jn 6, 63c. 68c</t>
  </si>
  <si>
    <t>Marcos 8, 27-33</t>
  </si>
  <si>
    <t>Santiago 2, 14-24. 26</t>
  </si>
  <si>
    <t>Salmo 111, 1-2. 3-4. 5-6</t>
  </si>
  <si>
    <t>Jn 15, 15b</t>
  </si>
  <si>
    <t>Marcos 8, 34 - 9, 1</t>
  </si>
  <si>
    <t>Santiago 3, 1-10</t>
  </si>
  <si>
    <t>Salmo 11, 2-3. 4-5. 7-8 </t>
  </si>
  <si>
    <t>san Marcos 9, 2-13</t>
  </si>
  <si>
    <t>Santiago 3, 13-18</t>
  </si>
  <si>
    <t>Salmo 18, 8. 9. 10. 15</t>
  </si>
  <si>
    <t>Marcos 9, 14-29</t>
  </si>
  <si>
    <t>Santiago 4, 1-10</t>
  </si>
  <si>
    <t>Salmo 54, 7-8. 9-10a. 10b-11a. 23</t>
  </si>
  <si>
    <t>Ga 6, 14</t>
  </si>
  <si>
    <t>Marcos 9, 30-37</t>
  </si>
  <si>
    <t>Santiago 4, 13-17</t>
  </si>
  <si>
    <t>Salmo 48, 2-3. 6-7. 8-10. 11</t>
  </si>
  <si>
    <t>Marcos 9, 38-40</t>
  </si>
  <si>
    <t>Santiago 5, 1-6</t>
  </si>
  <si>
    <t>Salmo 48, 14-15ab. 15cd-16. 17-18. 19-20</t>
  </si>
  <si>
    <t>Marcos 9, 41-50</t>
  </si>
  <si>
    <t>Santiago 5, 9-12</t>
  </si>
  <si>
    <t>Salmo 102, 1-2. 3-4. 8-9. 11-12</t>
  </si>
  <si>
    <t>Marcos 10, 1-12</t>
  </si>
  <si>
    <t>Santiago 5, 13-20</t>
  </si>
  <si>
    <t>Salmo 140, 1-2. 3 y 8 </t>
  </si>
  <si>
    <t>Marcos 10, 13-16</t>
  </si>
  <si>
    <t>1 Pedro 1, 3-9</t>
  </si>
  <si>
    <t>Salmo 110, 1-2. 5-6. 9 y 10c</t>
  </si>
  <si>
    <t>2Co 8, 9</t>
  </si>
  <si>
    <t>Marcos 10, 17-27</t>
  </si>
  <si>
    <t>1 Pedro 1, 10-16</t>
  </si>
  <si>
    <t>Salmo 97, 1. 2-3ab. 3c-4</t>
  </si>
  <si>
    <t>Marcos 10, 28-31</t>
  </si>
  <si>
    <t>1 Pedro 1, 18-25</t>
  </si>
  <si>
    <t>Mc 10, 45</t>
  </si>
  <si>
    <t>Marcos 10, 32-45</t>
  </si>
  <si>
    <t>1 Pedro 2, 2-5. 9-12</t>
  </si>
  <si>
    <t>Salmo 99, 2. 3. 4. 5</t>
  </si>
  <si>
    <t>Jn 8, 12</t>
  </si>
  <si>
    <t>Marcos 10, 46-52</t>
  </si>
  <si>
    <t>1 Pedro 4, 7-13</t>
  </si>
  <si>
    <t>Salmo 95, 10. 11-12. 13</t>
  </si>
  <si>
    <t>Jn 15, 16</t>
  </si>
  <si>
    <t>Marcos 11, 11-26</t>
  </si>
  <si>
    <t>Judas: 17. 20b-25</t>
  </si>
  <si>
    <t>Salmo 62, 2. 3-4. 5-6</t>
  </si>
  <si>
    <t>Col 3, 16. 17</t>
  </si>
  <si>
    <t>Marcos 11, 27-33</t>
  </si>
  <si>
    <t>2 Pedro 1, 1-7</t>
  </si>
  <si>
    <t>Salmo 90, 1-2. 14-15ab. 15c-16</t>
  </si>
  <si>
    <t>Ap 1, 5ab</t>
  </si>
  <si>
    <t>Marcos 12, 1-12</t>
  </si>
  <si>
    <t>2 Pedro 3 ,12-15a. 17-18</t>
  </si>
  <si>
    <t>Salmo 89, 2. 3-4. 10. 14 y 16</t>
  </si>
  <si>
    <t>Marcos 12, 13-17</t>
  </si>
  <si>
    <t>2 Timoteo 1, 1-3. 6-12</t>
  </si>
  <si>
    <t>Salmo 122, 1-2a. 2</t>
  </si>
  <si>
    <t>Marcos 12, 18-27</t>
  </si>
  <si>
    <t>2 Timoteo 2, 8-15</t>
  </si>
  <si>
    <t>Salmo 24, 4bc-5ab. 8-9. 10 y 14</t>
  </si>
  <si>
    <t>Marcos 12, 28b-34</t>
  </si>
  <si>
    <t>2 Timoteo 3, 10-17</t>
  </si>
  <si>
    <t>Salmo 118, 157. 160. 161. 165. 166. 168</t>
  </si>
  <si>
    <t>Marcos 12, 35-37</t>
  </si>
  <si>
    <t>2 Timoteo 4, 1-8</t>
  </si>
  <si>
    <t>Salmo 70, 8-9. 14-15ab. 16-17. 22</t>
  </si>
  <si>
    <t>Mt 5, 3</t>
  </si>
  <si>
    <t>Marcos 12, 38-44</t>
  </si>
  <si>
    <t>1 Reyes 17, 1-6</t>
  </si>
  <si>
    <t>Salmo 120, 1-2. 3-4. 5-6. 7-8</t>
  </si>
  <si>
    <t>Mt 5, 12</t>
  </si>
  <si>
    <t>Mateo 5, 1-12</t>
  </si>
  <si>
    <t>1 Reyes 17, 7-16</t>
  </si>
  <si>
    <t>Salmo 4, 2-3. 4-5. 7-8</t>
  </si>
  <si>
    <t>Mt 5, 16</t>
  </si>
  <si>
    <t>1 Reyes 18, 20-39</t>
  </si>
  <si>
    <t>Salmo 15, 1-2a. 4. 5 y 8. 11</t>
  </si>
  <si>
    <t>Sal 24, 4b. 5a</t>
  </si>
  <si>
    <t>Mateo 5, 17-19</t>
  </si>
  <si>
    <t>1 Reyes 18, 41-46</t>
  </si>
  <si>
    <t>Salmo 64, 10. 10-11. 12-13</t>
  </si>
  <si>
    <t>Mateo 5, 20-26</t>
  </si>
  <si>
    <t>1 Reyes 19, 9a. 11-16</t>
  </si>
  <si>
    <t>Salmo 26, 7-8. 8-9. 13-14</t>
  </si>
  <si>
    <t>Flp 2, 15. 16</t>
  </si>
  <si>
    <t>Mateo 5, 27-32</t>
  </si>
  <si>
    <t>1 Reyes 19, 19-21</t>
  </si>
  <si>
    <t>Salmo 15, 1-2a y 5. 7-8. 9-10</t>
  </si>
  <si>
    <t>Sal 118, 36. 29</t>
  </si>
  <si>
    <t>Mateo 5, 33-37</t>
  </si>
  <si>
    <t>1 Reyes 21, 1-16</t>
  </si>
  <si>
    <t>Salmo 5, 2-3. 5-6. 7</t>
  </si>
  <si>
    <t>Mateo 5, 38-42</t>
  </si>
  <si>
    <t>1 Reyes 21, 17-29</t>
  </si>
  <si>
    <t>Salmo 50, 3-4. 5-6a. 11 y 16</t>
  </si>
  <si>
    <t>Mateo 5, 43-48</t>
  </si>
  <si>
    <t>2 Reyes 2, 1. 6-14</t>
  </si>
  <si>
    <t>Salmo 30, 20. 21. 24</t>
  </si>
  <si>
    <t>Mateo 6, 1-6. 16-18</t>
  </si>
  <si>
    <t>Sirácida 48, 1-15</t>
  </si>
  <si>
    <t>Salmo 96, 1-2. 3-4. 5-6. 7</t>
  </si>
  <si>
    <t>Rm 8, 15</t>
  </si>
  <si>
    <t>Mateo 6, 7-15</t>
  </si>
  <si>
    <t>2 Reyes 11, 1-4. 9-18. 20</t>
  </si>
  <si>
    <t>Salmo 131, 11. 12. 13-14. 17-18</t>
  </si>
  <si>
    <t>Mateo 6, 19-23</t>
  </si>
  <si>
    <t>2 Crónicas 24, 17-25</t>
  </si>
  <si>
    <t>Salmo 88, 4-5. 29-30. 31-32. 33-34</t>
  </si>
  <si>
    <t>2 Reyes 17, 5-8. 13-15.18</t>
  </si>
  <si>
    <t>Salmo 59, 3. 4-5. 12-13</t>
  </si>
  <si>
    <t>Mateo 7, 1-5</t>
  </si>
  <si>
    <t>2 Reyes 19, 9-11. 14-21. 31-35. 36</t>
  </si>
  <si>
    <t>Salmo 47, 2-3a. 3b-4. 10-11</t>
  </si>
  <si>
    <t>Mateo 7, 6. 12-14</t>
  </si>
  <si>
    <t>2 Reyes 22, 13; 23, 1-3</t>
  </si>
  <si>
    <t>Salmo 118, 33. 34. 35. 36. 37. 40</t>
  </si>
  <si>
    <t>Jn 15, 4a. 5</t>
  </si>
  <si>
    <t>Mateo 7, 15-20</t>
  </si>
  <si>
    <t>2 Reyes 24, 8-17</t>
  </si>
  <si>
    <t>Salmo 78, 1-2. 3-5. 8. 9</t>
  </si>
  <si>
    <t>Mateo 7, 21-29</t>
  </si>
  <si>
    <t>2 Reyes 25, 1-12</t>
  </si>
  <si>
    <t>Salmo 136, 1-2. 3. 4-5. 6</t>
  </si>
  <si>
    <t>Mateo 8, 1-4</t>
  </si>
  <si>
    <t>Lamentaciones 2, 2. 10-14. 18-19</t>
  </si>
  <si>
    <t>Salmo 73, 1-2. 3-5a. 5b-7. 20-21</t>
  </si>
  <si>
    <t>Mateo 8, 5-17</t>
  </si>
  <si>
    <t>Amós 2, 6-10. 13-16</t>
  </si>
  <si>
    <t>Salmo 49, 16-17. 18-19. 20-21. 22-23</t>
  </si>
  <si>
    <t>Sal 94, 8</t>
  </si>
  <si>
    <t>Mateo 8, 18-22</t>
  </si>
  <si>
    <t>Amós 3, 1-8; 4, 11-12</t>
  </si>
  <si>
    <t>Salmo 5, 5-6. 7. 8</t>
  </si>
  <si>
    <t>Sal 129, 5</t>
  </si>
  <si>
    <t>Mateo 8, 23-27</t>
  </si>
  <si>
    <t>Amós 5, 14-15. 21-24</t>
  </si>
  <si>
    <t>Salmo 49, 7. 8-9. 10-11. 12-13. 16-17</t>
  </si>
  <si>
    <t>St 1, 18</t>
  </si>
  <si>
    <t>Mateo 8, 28-34</t>
  </si>
  <si>
    <t>Amós 7, 10-17</t>
  </si>
  <si>
    <t>Salmo 18, 8. 9. 10. 11</t>
  </si>
  <si>
    <t>Mateo 9, 1-8</t>
  </si>
  <si>
    <t>Amós 8, 4-6. 9-12</t>
  </si>
  <si>
    <t>Salmo 118, 2. 10. 20. 30. 40. 131</t>
  </si>
  <si>
    <t>Mt 11, 28</t>
  </si>
  <si>
    <t>Amós 9, 11-15</t>
  </si>
  <si>
    <t>Salmo 84, 9. 11-12. 13-14</t>
  </si>
  <si>
    <t>Mateo 9, 14-17</t>
  </si>
  <si>
    <t>Oseas 2, 16. 17b-18. 21-22</t>
  </si>
  <si>
    <t>Salmo 144, 2-3. 4-5. 6-7. 8-9</t>
  </si>
  <si>
    <t>Mateo 9, 18-26</t>
  </si>
  <si>
    <t>Oseas 8, 4-7. 11. 13</t>
  </si>
  <si>
    <t>Salmo 113B, 3-4. 5-6. 7-8. 9-10</t>
  </si>
  <si>
    <t>Mateo 9, 32-38</t>
  </si>
  <si>
    <t>Oseas 10, 1-3. 7-8. 12</t>
  </si>
  <si>
    <t>Salmo 104, 2-3. 4-5. 6-7</t>
  </si>
  <si>
    <t>Mateo 10, 1-7</t>
  </si>
  <si>
    <t>Oseas 11, 1-4. 8-9</t>
  </si>
  <si>
    <t>Salmo 79, 2ac y 3b. 15-16</t>
  </si>
  <si>
    <t>Mateo 10, 7-15</t>
  </si>
  <si>
    <t>Oseas 14, 2-10</t>
  </si>
  <si>
    <t>Salmo 50, 3-4. 8-9. 12-13. 14 y 17</t>
  </si>
  <si>
    <t>Jn 16, 13; 14, 26</t>
  </si>
  <si>
    <t>Mateo 10, 16-23</t>
  </si>
  <si>
    <t>Isaías 6, 1-8</t>
  </si>
  <si>
    <t>Salmo 92, 1. 1-2. 5</t>
  </si>
  <si>
    <t>1P 4, 14</t>
  </si>
  <si>
    <t>Mateo 10, 24-33</t>
  </si>
  <si>
    <t>Isaías 1, 10-17</t>
  </si>
  <si>
    <t>Mt, 5, 10</t>
  </si>
  <si>
    <t>Mateo 10, 34—11, 1</t>
  </si>
  <si>
    <t>Isaías 7, 1-9</t>
  </si>
  <si>
    <t>Salmo 47, 2-3a. 3b-4. 5-6. 7-8</t>
  </si>
  <si>
    <t>Mateo 11, 20-24</t>
  </si>
  <si>
    <t>Isaías 10, 5-7. 13-16</t>
  </si>
  <si>
    <t>Salmo 93, 5-6. 7-8. 9-10. 14-15</t>
  </si>
  <si>
    <t>Mateo 11, 25-27</t>
  </si>
  <si>
    <t>Isaías 26, 7-9. 12. 16-19</t>
  </si>
  <si>
    <t>Salmo 101, 13-14ab y 15. 16-18. 19-21</t>
  </si>
  <si>
    <t>Mateo 11, 28-30</t>
  </si>
  <si>
    <t>Isaías 38, 1-6. 21-22. 7-8</t>
  </si>
  <si>
    <t>Isaías 38, 10. 11. 12. 16</t>
  </si>
  <si>
    <t>Mateo 12, 1-8</t>
  </si>
  <si>
    <t>Miqueas 2, 1-5</t>
  </si>
  <si>
    <t>Salmo 9, 22-23. 24-25. 28-29. 35</t>
  </si>
  <si>
    <t>Mateo 12, 14-21</t>
  </si>
  <si>
    <t>Miqueas 6, 1-4. 6-8</t>
  </si>
  <si>
    <t>Salmo 49, 5-6. 8-9. 16bc-17. 21 y 23</t>
  </si>
  <si>
    <t>Mateo 12, 38-42</t>
  </si>
  <si>
    <t>Miqueas 7, 14-15. 18-20</t>
  </si>
  <si>
    <t>Salmo 84, 2-4. 5-6. 7-8</t>
  </si>
  <si>
    <t>Mateo 12, 46-50</t>
  </si>
  <si>
    <t>Jeremías 1, 1. 4-10</t>
  </si>
  <si>
    <t>Salmo 70, 1-2. 3-4a. 5-6ab. 15ab y 17</t>
  </si>
  <si>
    <t>Jeremías 2, 1-3. 7-8. 12-13</t>
  </si>
  <si>
    <t>Salmo 35, 6-7ab. 8-9. 10-11</t>
  </si>
  <si>
    <t>Mateo 13, 10-17</t>
  </si>
  <si>
    <t>Jeremías 3, 14-17</t>
  </si>
  <si>
    <t>Jeremías 31, 10. 11 -12. 13</t>
  </si>
  <si>
    <t>Mateo 13, 18-23</t>
  </si>
  <si>
    <t>Jeremías 7, 1-11</t>
  </si>
  <si>
    <t>Salmo 83, 3. 4. 5-6 y 8. 11</t>
  </si>
  <si>
    <t>Jeremías 13, 1-11</t>
  </si>
  <si>
    <t>Deuteronomio 32, 18-19. 20. 21</t>
  </si>
  <si>
    <t>Mateo 13, 31-35</t>
  </si>
  <si>
    <t>Jeremías 14, 17-22</t>
  </si>
  <si>
    <t>Salmo 78, 8. 9. 11 y 13</t>
  </si>
  <si>
    <t>Mateo 13, 36-43</t>
  </si>
  <si>
    <t>Jeremías 15, 10. 16-21</t>
  </si>
  <si>
    <t>Salmo 58, 23. 4-5a. 10-11. 17. 18</t>
  </si>
  <si>
    <t>Jn 15, 15</t>
  </si>
  <si>
    <t>Jeremías 18, 1-6</t>
  </si>
  <si>
    <t>Salmo 145, 1-2. 3-4. 5-6</t>
  </si>
  <si>
    <t>Mateo 13, 47-53</t>
  </si>
  <si>
    <t>Jeremías 26, 1-9</t>
  </si>
  <si>
    <t>Salmo 68, 5. 8-10. 14</t>
  </si>
  <si>
    <t>1P 1, 25</t>
  </si>
  <si>
    <t>Mateo 13, 54-58</t>
  </si>
  <si>
    <t>Jeremías 26, 11-16. 24</t>
  </si>
  <si>
    <t>Salmo 68, 15-16. 30-31. 33-34</t>
  </si>
  <si>
    <t>Mt 5, 10</t>
  </si>
  <si>
    <t>Mateo 14, 1-12</t>
  </si>
  <si>
    <t>Jeremías 28, 1-17</t>
  </si>
  <si>
    <t>Salmo 118, 29. 43. 79. 80. 95. 102</t>
  </si>
  <si>
    <t>Jeremías 30, 1-2. 12-15. 18-22</t>
  </si>
  <si>
    <t>Salmo 101, 16-18. 19-21. 29 y 22-23</t>
  </si>
  <si>
    <t>Jn 1, 49b</t>
  </si>
  <si>
    <t>Mateo 14, 22-36 / Mateo 15, 1-2. 10-14</t>
  </si>
  <si>
    <t>Jeremías 31, 1-7</t>
  </si>
  <si>
    <t>Jeremías 31. 10. 11-12ab. 13</t>
  </si>
  <si>
    <t>Jeremías 31, 31-34</t>
  </si>
  <si>
    <t>Salmo 50, 12-13. 14-15. 18-19</t>
  </si>
  <si>
    <t>Mt 16, 18</t>
  </si>
  <si>
    <t>Mateo 16, 13-23</t>
  </si>
  <si>
    <t>Nahum 2, 1. 3; 3, 1-3. 6-7</t>
  </si>
  <si>
    <t>Deuteronomio 32, 35-36. 39. 41 </t>
  </si>
  <si>
    <t>Mateo 16, 24-28</t>
  </si>
  <si>
    <t>Habacuc 1, 12—2, 4</t>
  </si>
  <si>
    <t>Salmo 9, 8-9. 10-11. 12-13</t>
  </si>
  <si>
    <t>Mateo 17, 14-20</t>
  </si>
  <si>
    <t>Ezequiel 1, 2-5. 24-28</t>
  </si>
  <si>
    <t>Salmo 148, 1-2. 11-12. 12-14</t>
  </si>
  <si>
    <t>2Ts 2, 14</t>
  </si>
  <si>
    <t>Mateo 17, 22-27</t>
  </si>
  <si>
    <t>Ezequiel 2, 8—3, 4</t>
  </si>
  <si>
    <t>Salmo 118, 14. 24. 72. 103. 111. 131</t>
  </si>
  <si>
    <t>Mt 11, 29</t>
  </si>
  <si>
    <t>Mateo 18, 1-5. 10. 12-14</t>
  </si>
  <si>
    <t>Ezequiel 9, 1-7; 10, 18-22</t>
  </si>
  <si>
    <t>Salmo 112, 1-2. 3-4. 5-6</t>
  </si>
  <si>
    <t>Ezequiel 12, 1-12</t>
  </si>
  <si>
    <t>Salmo 77, 56-57. 58-59. 61-62</t>
  </si>
  <si>
    <t>Sal 118, 135</t>
  </si>
  <si>
    <t>Mateo 18, 21 - 19, 1</t>
  </si>
  <si>
    <t>Ezequiel 16, 1-15. 60. 63  / Ezequiel Ez 16, 59-63</t>
  </si>
  <si>
    <t>Isaías 12, 2-3. 4bcd. 5-6 </t>
  </si>
  <si>
    <t>Mateo 19, 3-12</t>
  </si>
  <si>
    <t>Ezequiel 18, 1-10. 13b. 30-32</t>
  </si>
  <si>
    <t>Mateo 19, 13-15</t>
  </si>
  <si>
    <t>Ezequiel 24, 15-24</t>
  </si>
  <si>
    <t>Mateo 19, 16-22</t>
  </si>
  <si>
    <t>Ezequiel 28, 1-10</t>
  </si>
  <si>
    <t>Deuteronomio 32, 26-27. 27-28. 30. 35-36</t>
  </si>
  <si>
    <t>Mateo 19, 23-30</t>
  </si>
  <si>
    <t>Ezequiel 34, 1-11</t>
  </si>
  <si>
    <t>Ezequiel 36, 23-28</t>
  </si>
  <si>
    <t>Ezequiel 37, 1-14</t>
  </si>
  <si>
    <t>Salmo 106, 2-3. 4-5. 6-7. 8-9</t>
  </si>
  <si>
    <t>Ezequiel 43, 1-7a</t>
  </si>
  <si>
    <t>Salmo 84, 9ab-10. 11-12. 13-14</t>
  </si>
  <si>
    <t>Mt 23, 9. 10</t>
  </si>
  <si>
    <t>Sal 24, 4. 5</t>
  </si>
  <si>
    <t>https://servicioskoinonia.org/leccionario/Libro_04.html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</si>
</sst>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7"/>
      <color rgb="FF000000"/>
      <name val="Verdana"/>
      <family val="2"/>
    </font>
    <font>
      <sz val="7"/>
      <color rgb="FFFF0000"/>
      <name val="Verdana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ervicioskoinonia.org/leccionario/Libro_0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50CC-0950-4C80-A067-6CCB3F4EAE54}">
  <dimension ref="A1:L114"/>
  <sheetViews>
    <sheetView topLeftCell="A63" zoomScale="145" zoomScaleNormal="145" workbookViewId="0">
      <selection activeCell="A70" sqref="A70:XFD81"/>
    </sheetView>
  </sheetViews>
  <sheetFormatPr defaultRowHeight="14.5" x14ac:dyDescent="0.35"/>
  <cols>
    <col min="1" max="1" width="12.453125" bestFit="1" customWidth="1"/>
    <col min="2" max="2" width="10.81640625" customWidth="1"/>
    <col min="3" max="3" width="19.453125" bestFit="1" customWidth="1"/>
    <col min="4" max="4" width="31.1796875" bestFit="1" customWidth="1"/>
    <col min="5" max="5" width="37.54296875" bestFit="1" customWidth="1"/>
    <col min="6" max="6" width="15" customWidth="1"/>
    <col min="7" max="7" width="27.453125" bestFit="1" customWidth="1"/>
    <col min="8" max="8" width="8.1796875" customWidth="1"/>
    <col min="9" max="10" width="33.81640625" customWidth="1"/>
  </cols>
  <sheetData>
    <row r="1" spans="1:10" x14ac:dyDescent="0.35">
      <c r="A1" t="s">
        <v>30</v>
      </c>
      <c r="B1" t="s">
        <v>1</v>
      </c>
      <c r="C1" t="s">
        <v>3</v>
      </c>
      <c r="D1" t="s">
        <v>4</v>
      </c>
      <c r="E1" t="s">
        <v>5</v>
      </c>
      <c r="F1" t="s">
        <v>7</v>
      </c>
      <c r="I1" t="s">
        <v>8</v>
      </c>
    </row>
    <row r="2" spans="1:10" x14ac:dyDescent="0.35">
      <c r="A2" t="s">
        <v>31</v>
      </c>
      <c r="B2" t="s">
        <v>0</v>
      </c>
      <c r="C2" t="s">
        <v>2</v>
      </c>
      <c r="D2" t="s">
        <v>11</v>
      </c>
      <c r="E2" t="s">
        <v>10</v>
      </c>
      <c r="F2" t="s">
        <v>6</v>
      </c>
      <c r="G2" t="str">
        <f t="shared" ref="G2:G5" si="0">IF(J2="",I2,_xlfn.CONCAT(I2," / ",J2))</f>
        <v>Mateo 24, 37-44</v>
      </c>
      <c r="I2" t="s">
        <v>9</v>
      </c>
    </row>
    <row r="3" spans="1:10" x14ac:dyDescent="0.35">
      <c r="A3" t="s">
        <v>31</v>
      </c>
      <c r="B3" t="s">
        <v>13</v>
      </c>
      <c r="C3" t="s">
        <v>12</v>
      </c>
      <c r="D3" t="s">
        <v>14</v>
      </c>
      <c r="E3" t="s">
        <v>15</v>
      </c>
      <c r="F3" t="s">
        <v>16</v>
      </c>
      <c r="G3" t="str">
        <f t="shared" si="0"/>
        <v>Mateo: 3, 1-12</v>
      </c>
      <c r="I3" t="s">
        <v>17</v>
      </c>
    </row>
    <row r="4" spans="1:10" x14ac:dyDescent="0.35">
      <c r="A4" t="s">
        <v>31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  <c r="G4" t="str">
        <f t="shared" si="0"/>
        <v>Mateo 11, 2-11</v>
      </c>
      <c r="I4" t="s">
        <v>23</v>
      </c>
    </row>
    <row r="5" spans="1:10" x14ac:dyDescent="0.35">
      <c r="A5" t="s">
        <v>31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tr">
        <f t="shared" si="0"/>
        <v>Mateo 1, 18-24</v>
      </c>
      <c r="I5" t="s">
        <v>29</v>
      </c>
    </row>
    <row r="6" spans="1:10" x14ac:dyDescent="0.35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38</v>
      </c>
      <c r="G6" t="str">
        <f>IF(J6="",I6,_xlfn.CONCAT(I6," / ",J6))</f>
        <v>Mateo 1, 1-25 / Mateo 1, 18-25</v>
      </c>
      <c r="I6" t="s">
        <v>37</v>
      </c>
      <c r="J6" t="s">
        <v>39</v>
      </c>
    </row>
    <row r="7" spans="1:10" x14ac:dyDescent="0.35">
      <c r="A7" t="s">
        <v>32</v>
      </c>
      <c r="B7" t="s">
        <v>40</v>
      </c>
      <c r="C7" t="s">
        <v>41</v>
      </c>
      <c r="D7" t="s">
        <v>42</v>
      </c>
      <c r="E7" t="s">
        <v>43</v>
      </c>
      <c r="F7" t="s">
        <v>44</v>
      </c>
      <c r="G7" t="str">
        <f t="shared" ref="G7:G69" si="1">IF(J7="",I7,_xlfn.CONCAT(I7," / ",J7))</f>
        <v>Lucas 2, 1-14</v>
      </c>
      <c r="I7" t="s">
        <v>45</v>
      </c>
    </row>
    <row r="8" spans="1:10" x14ac:dyDescent="0.35">
      <c r="A8" t="s">
        <v>32</v>
      </c>
      <c r="B8" t="s">
        <v>46</v>
      </c>
      <c r="C8" t="s">
        <v>47</v>
      </c>
      <c r="D8" t="s">
        <v>48</v>
      </c>
      <c r="E8" t="s">
        <v>49</v>
      </c>
      <c r="F8" t="s">
        <v>50</v>
      </c>
      <c r="G8" t="str">
        <f t="shared" si="1"/>
        <v>Lucas 2, 15-20</v>
      </c>
      <c r="I8" t="s">
        <v>51</v>
      </c>
    </row>
    <row r="9" spans="1:10" x14ac:dyDescent="0.35">
      <c r="A9" t="s">
        <v>32</v>
      </c>
      <c r="B9" t="s">
        <v>52</v>
      </c>
      <c r="C9" t="s">
        <v>53</v>
      </c>
      <c r="D9" t="s">
        <v>54</v>
      </c>
      <c r="E9" t="s">
        <v>55</v>
      </c>
      <c r="F9" t="s">
        <v>56</v>
      </c>
      <c r="G9" t="str">
        <f t="shared" si="1"/>
        <v>Juan 1, 1-18 / Juan 1, 1-5. 9-14</v>
      </c>
      <c r="I9" t="s">
        <v>57</v>
      </c>
      <c r="J9" t="s">
        <v>58</v>
      </c>
    </row>
    <row r="10" spans="1:10" x14ac:dyDescent="0.35">
      <c r="A10" t="s">
        <v>31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tr">
        <f t="shared" si="1"/>
        <v>Mateo 2, 13-15. 19-23</v>
      </c>
      <c r="I10" t="s">
        <v>64</v>
      </c>
    </row>
    <row r="11" spans="1:10" x14ac:dyDescent="0.35">
      <c r="A11" t="s">
        <v>66</v>
      </c>
      <c r="B11" t="s">
        <v>67</v>
      </c>
      <c r="C11" t="s">
        <v>65</v>
      </c>
      <c r="D11" t="s">
        <v>68</v>
      </c>
      <c r="E11" t="s">
        <v>69</v>
      </c>
      <c r="F11" t="s">
        <v>70</v>
      </c>
      <c r="G11" t="str">
        <f t="shared" si="1"/>
        <v>Lucas 2, 16-21</v>
      </c>
      <c r="I11" t="s">
        <v>71</v>
      </c>
    </row>
    <row r="12" spans="1:10" x14ac:dyDescent="0.35">
      <c r="A12" t="s">
        <v>32</v>
      </c>
      <c r="B12" t="s">
        <v>72</v>
      </c>
      <c r="C12" t="s">
        <v>73</v>
      </c>
      <c r="D12" t="s">
        <v>74</v>
      </c>
      <c r="E12" t="s">
        <v>75</v>
      </c>
      <c r="F12" t="s">
        <v>76</v>
      </c>
      <c r="G12" t="str">
        <f t="shared" si="1"/>
        <v>Juan 1, 1-18 / Juan 1, 1-5. 9-14</v>
      </c>
      <c r="I12" t="s">
        <v>57</v>
      </c>
      <c r="J12" t="s">
        <v>58</v>
      </c>
    </row>
    <row r="13" spans="1:10" x14ac:dyDescent="0.35">
      <c r="A13" t="s">
        <v>78</v>
      </c>
      <c r="B13" t="s">
        <v>77</v>
      </c>
      <c r="C13" t="s">
        <v>79</v>
      </c>
      <c r="D13" t="s">
        <v>80</v>
      </c>
      <c r="E13" t="s">
        <v>81</v>
      </c>
      <c r="F13" t="s">
        <v>93</v>
      </c>
      <c r="G13" t="str">
        <f t="shared" si="1"/>
        <v>Mateo 2, 1-12</v>
      </c>
      <c r="I13" t="s">
        <v>82</v>
      </c>
    </row>
    <row r="14" spans="1:10" x14ac:dyDescent="0.35">
      <c r="A14" t="s">
        <v>31</v>
      </c>
      <c r="B14" t="s">
        <v>83</v>
      </c>
      <c r="C14" t="s">
        <v>84</v>
      </c>
      <c r="D14" t="s">
        <v>85</v>
      </c>
      <c r="E14" t="s">
        <v>86</v>
      </c>
      <c r="F14" t="s">
        <v>87</v>
      </c>
      <c r="G14" t="str">
        <f t="shared" si="1"/>
        <v>Mateo 3, 13-17</v>
      </c>
      <c r="I14" t="s">
        <v>88</v>
      </c>
    </row>
    <row r="15" spans="1:10" x14ac:dyDescent="0.35">
      <c r="A15" t="s">
        <v>31</v>
      </c>
      <c r="B15" t="s">
        <v>89</v>
      </c>
      <c r="C15" t="s">
        <v>90</v>
      </c>
      <c r="D15" t="s">
        <v>91</v>
      </c>
      <c r="E15" t="s">
        <v>92</v>
      </c>
      <c r="F15" t="s">
        <v>94</v>
      </c>
      <c r="G15" t="str">
        <f t="shared" si="1"/>
        <v>Mateo 4, 1-11</v>
      </c>
      <c r="I15" t="s">
        <v>95</v>
      </c>
    </row>
    <row r="16" spans="1:10" x14ac:dyDescent="0.35">
      <c r="A16" t="s">
        <v>31</v>
      </c>
      <c r="B16" t="s">
        <v>96</v>
      </c>
      <c r="C16" t="s">
        <v>97</v>
      </c>
      <c r="D16" t="s">
        <v>98</v>
      </c>
      <c r="E16" t="s">
        <v>99</v>
      </c>
      <c r="F16" t="s">
        <v>100</v>
      </c>
      <c r="G16" t="str">
        <f t="shared" si="1"/>
        <v>Mateo 17, 1-9</v>
      </c>
      <c r="I16" t="s">
        <v>101</v>
      </c>
    </row>
    <row r="17" spans="1:10" x14ac:dyDescent="0.35">
      <c r="A17" t="s">
        <v>31</v>
      </c>
      <c r="B17" t="s">
        <v>102</v>
      </c>
      <c r="C17" t="s">
        <v>103</v>
      </c>
      <c r="D17" t="s">
        <v>104</v>
      </c>
      <c r="E17" t="s">
        <v>105</v>
      </c>
      <c r="F17" t="s">
        <v>106</v>
      </c>
      <c r="G17" t="str">
        <f t="shared" si="1"/>
        <v>Juan 4, 5-42 / Juan 4, 5-15. 19b-26. 39a. 40-42</v>
      </c>
      <c r="I17" t="s">
        <v>107</v>
      </c>
      <c r="J17" t="s">
        <v>108</v>
      </c>
    </row>
    <row r="18" spans="1:10" x14ac:dyDescent="0.35">
      <c r="A18" t="s">
        <v>31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tr">
        <f t="shared" si="1"/>
        <v>Juan 9, 1-41 / Juan 9, 1. 6-9. 13-17. 34-38</v>
      </c>
      <c r="I18" t="s">
        <v>114</v>
      </c>
      <c r="J18" t="s">
        <v>115</v>
      </c>
    </row>
    <row r="19" spans="1:10" x14ac:dyDescent="0.35">
      <c r="A19" t="s">
        <v>31</v>
      </c>
      <c r="B19" t="s">
        <v>116</v>
      </c>
      <c r="C19" t="s">
        <v>117</v>
      </c>
      <c r="D19" t="s">
        <v>118</v>
      </c>
      <c r="E19" t="s">
        <v>119</v>
      </c>
      <c r="F19" t="s">
        <v>120</v>
      </c>
      <c r="G19" t="str">
        <f t="shared" si="1"/>
        <v>Juan 11, 1-45 / Juan 11, 3-7. 17. 20-27. 33b-45</v>
      </c>
      <c r="I19" t="s">
        <v>121</v>
      </c>
      <c r="J19" t="s">
        <v>122</v>
      </c>
    </row>
    <row r="20" spans="1:10" x14ac:dyDescent="0.35">
      <c r="A20" t="s">
        <v>31</v>
      </c>
      <c r="B20" t="s">
        <v>123</v>
      </c>
      <c r="C20" t="s">
        <v>124</v>
      </c>
      <c r="D20" t="s">
        <v>125</v>
      </c>
      <c r="E20" t="s">
        <v>126</v>
      </c>
      <c r="F20" t="s">
        <v>127</v>
      </c>
      <c r="G20" t="str">
        <f t="shared" si="1"/>
        <v>Mateo 26, 14—27, 66</v>
      </c>
      <c r="I20" t="s">
        <v>128</v>
      </c>
    </row>
    <row r="21" spans="1:10" x14ac:dyDescent="0.35">
      <c r="A21" t="s">
        <v>32</v>
      </c>
      <c r="B21" t="s">
        <v>129</v>
      </c>
      <c r="C21" t="s">
        <v>130</v>
      </c>
      <c r="D21" t="s">
        <v>131</v>
      </c>
      <c r="E21" t="s">
        <v>132</v>
      </c>
      <c r="F21" t="s">
        <v>133</v>
      </c>
      <c r="G21" t="str">
        <f t="shared" si="1"/>
        <v>Juan 13, 1-15</v>
      </c>
      <c r="I21" t="s">
        <v>134</v>
      </c>
    </row>
    <row r="22" spans="1:10" x14ac:dyDescent="0.35">
      <c r="A22" t="s">
        <v>32</v>
      </c>
      <c r="B22" t="s">
        <v>135</v>
      </c>
      <c r="C22" t="s">
        <v>136</v>
      </c>
      <c r="D22" t="s">
        <v>137</v>
      </c>
      <c r="E22" t="s">
        <v>138</v>
      </c>
      <c r="F22" t="s">
        <v>127</v>
      </c>
      <c r="G22" t="str">
        <f t="shared" si="1"/>
        <v>Juan 18, 1—19, 42</v>
      </c>
      <c r="I22" t="s">
        <v>139</v>
      </c>
    </row>
    <row r="23" spans="1:10" x14ac:dyDescent="0.35">
      <c r="A23" t="s">
        <v>31</v>
      </c>
      <c r="B23" t="s">
        <v>140</v>
      </c>
      <c r="C23" t="s">
        <v>141</v>
      </c>
      <c r="G23">
        <f t="shared" si="1"/>
        <v>0</v>
      </c>
    </row>
    <row r="24" spans="1:10" x14ac:dyDescent="0.35">
      <c r="A24" t="s">
        <v>32</v>
      </c>
      <c r="B24" t="s">
        <v>142</v>
      </c>
      <c r="C24" t="s">
        <v>143</v>
      </c>
      <c r="D24" t="s">
        <v>144</v>
      </c>
      <c r="E24" t="s">
        <v>145</v>
      </c>
      <c r="F24" t="s">
        <v>146</v>
      </c>
      <c r="G24" t="str">
        <f t="shared" si="1"/>
        <v>Juan 20, 1-9</v>
      </c>
      <c r="I24" t="s">
        <v>147</v>
      </c>
    </row>
    <row r="25" spans="1:10" x14ac:dyDescent="0.35">
      <c r="A25" t="s">
        <v>31</v>
      </c>
      <c r="B25" t="s">
        <v>148</v>
      </c>
      <c r="C25" t="s">
        <v>149</v>
      </c>
      <c r="D25" t="s">
        <v>150</v>
      </c>
      <c r="E25" t="s">
        <v>157</v>
      </c>
      <c r="F25" t="s">
        <v>151</v>
      </c>
      <c r="G25" t="str">
        <f t="shared" si="1"/>
        <v>Juan 20, 19-31</v>
      </c>
      <c r="I25" t="s">
        <v>152</v>
      </c>
    </row>
    <row r="26" spans="1:10" x14ac:dyDescent="0.35">
      <c r="A26" t="s">
        <v>31</v>
      </c>
      <c r="B26" t="s">
        <v>155</v>
      </c>
      <c r="C26" t="s">
        <v>153</v>
      </c>
      <c r="D26" t="s">
        <v>154</v>
      </c>
      <c r="E26" t="s">
        <v>156</v>
      </c>
      <c r="F26" t="s">
        <v>158</v>
      </c>
      <c r="G26" t="str">
        <f t="shared" si="1"/>
        <v>Lucas 24, 13-35</v>
      </c>
      <c r="I26" t="s">
        <v>159</v>
      </c>
    </row>
    <row r="27" spans="1:10" x14ac:dyDescent="0.35">
      <c r="A27" t="s">
        <v>31</v>
      </c>
      <c r="B27" t="s">
        <v>160</v>
      </c>
      <c r="C27" t="s">
        <v>161</v>
      </c>
      <c r="D27" t="s">
        <v>111</v>
      </c>
      <c r="E27" t="s">
        <v>162</v>
      </c>
      <c r="F27" t="s">
        <v>163</v>
      </c>
      <c r="G27" t="str">
        <f t="shared" si="1"/>
        <v>Juan 10, 1-10</v>
      </c>
      <c r="I27" t="s">
        <v>164</v>
      </c>
    </row>
    <row r="28" spans="1:10" x14ac:dyDescent="0.35">
      <c r="A28" t="s">
        <v>31</v>
      </c>
      <c r="B28" t="s">
        <v>165</v>
      </c>
      <c r="C28" t="s">
        <v>166</v>
      </c>
      <c r="D28" t="s">
        <v>167</v>
      </c>
      <c r="E28" t="s">
        <v>168</v>
      </c>
      <c r="F28" t="s">
        <v>169</v>
      </c>
      <c r="G28" t="str">
        <f t="shared" si="1"/>
        <v>Juan 14, 1-12</v>
      </c>
      <c r="I28" t="s">
        <v>170</v>
      </c>
    </row>
    <row r="29" spans="1:10" x14ac:dyDescent="0.35">
      <c r="A29" t="s">
        <v>31</v>
      </c>
      <c r="B29" t="s">
        <v>171</v>
      </c>
      <c r="C29" t="s">
        <v>172</v>
      </c>
      <c r="D29" t="s">
        <v>173</v>
      </c>
      <c r="E29" t="s">
        <v>174</v>
      </c>
      <c r="F29" t="s">
        <v>175</v>
      </c>
      <c r="G29" t="str">
        <f t="shared" si="1"/>
        <v>Juan 14, 15-21</v>
      </c>
      <c r="I29" t="s">
        <v>176</v>
      </c>
    </row>
    <row r="30" spans="1:10" x14ac:dyDescent="0.35">
      <c r="A30" t="s">
        <v>31</v>
      </c>
      <c r="B30" t="s">
        <v>180</v>
      </c>
      <c r="C30" t="s">
        <v>181</v>
      </c>
      <c r="D30" t="s">
        <v>182</v>
      </c>
      <c r="E30" t="s">
        <v>183</v>
      </c>
      <c r="F30" t="s">
        <v>184</v>
      </c>
      <c r="G30" t="str">
        <f t="shared" si="1"/>
        <v>Mateo 28, 16-20</v>
      </c>
      <c r="I30" t="s">
        <v>185</v>
      </c>
    </row>
    <row r="31" spans="1:10" x14ac:dyDescent="0.35">
      <c r="A31" t="s">
        <v>31</v>
      </c>
      <c r="B31" t="s">
        <v>178</v>
      </c>
      <c r="C31" t="s">
        <v>186</v>
      </c>
      <c r="D31" t="s">
        <v>187</v>
      </c>
      <c r="E31" t="s">
        <v>177</v>
      </c>
      <c r="F31" t="s">
        <v>179</v>
      </c>
      <c r="G31" t="str">
        <f t="shared" si="1"/>
        <v>Juan 17, 1-11</v>
      </c>
      <c r="I31" t="s">
        <v>188</v>
      </c>
    </row>
    <row r="32" spans="1:10" x14ac:dyDescent="0.35">
      <c r="A32" t="s">
        <v>31</v>
      </c>
      <c r="B32" t="s">
        <v>194</v>
      </c>
      <c r="C32" t="s">
        <v>189</v>
      </c>
      <c r="D32" t="s">
        <v>191</v>
      </c>
      <c r="E32" t="s">
        <v>190</v>
      </c>
      <c r="F32" t="s">
        <v>193</v>
      </c>
      <c r="G32" t="str">
        <f t="shared" si="1"/>
        <v>Juan 7, 37-39</v>
      </c>
      <c r="I32" t="s">
        <v>192</v>
      </c>
    </row>
    <row r="33" spans="1:12" x14ac:dyDescent="0.35">
      <c r="A33" t="s">
        <v>31</v>
      </c>
      <c r="B33" t="s">
        <v>195</v>
      </c>
      <c r="C33" t="s">
        <v>196</v>
      </c>
      <c r="D33" t="s">
        <v>197</v>
      </c>
      <c r="E33" t="s">
        <v>198</v>
      </c>
      <c r="F33" t="s">
        <v>200</v>
      </c>
      <c r="G33" t="str">
        <f t="shared" si="1"/>
        <v>Juan 20, 19-23</v>
      </c>
      <c r="I33" t="s">
        <v>199</v>
      </c>
    </row>
    <row r="34" spans="1:12" x14ac:dyDescent="0.35">
      <c r="A34" t="s">
        <v>31</v>
      </c>
      <c r="B34" t="s">
        <v>201</v>
      </c>
      <c r="C34" t="s">
        <v>202</v>
      </c>
      <c r="D34" t="s">
        <v>203</v>
      </c>
      <c r="E34" t="s">
        <v>204</v>
      </c>
      <c r="F34" t="s">
        <v>205</v>
      </c>
      <c r="G34" t="str">
        <f t="shared" si="1"/>
        <v>Juan 3,1 6-18</v>
      </c>
      <c r="I34" t="s">
        <v>206</v>
      </c>
    </row>
    <row r="35" spans="1:12" x14ac:dyDescent="0.35">
      <c r="A35" t="s">
        <v>31</v>
      </c>
      <c r="B35" t="s">
        <v>208</v>
      </c>
      <c r="C35" t="s">
        <v>207</v>
      </c>
      <c r="D35" t="s">
        <v>74</v>
      </c>
      <c r="E35" t="s">
        <v>210</v>
      </c>
      <c r="F35" t="s">
        <v>211</v>
      </c>
      <c r="G35" t="str">
        <f t="shared" si="1"/>
        <v>Juan 6, 51-58</v>
      </c>
      <c r="I35" t="s">
        <v>212</v>
      </c>
      <c r="L35" t="s">
        <v>209</v>
      </c>
    </row>
    <row r="36" spans="1:12" x14ac:dyDescent="0.35">
      <c r="A36" t="s">
        <v>31</v>
      </c>
      <c r="B36" t="s">
        <v>213</v>
      </c>
      <c r="C36" t="s">
        <v>215</v>
      </c>
      <c r="D36" t="s">
        <v>216</v>
      </c>
      <c r="E36" t="s">
        <v>217</v>
      </c>
      <c r="F36" t="s">
        <v>218</v>
      </c>
      <c r="G36" t="str">
        <f t="shared" si="1"/>
        <v>Mateo 11, 25-30</v>
      </c>
      <c r="I36" t="s">
        <v>219</v>
      </c>
      <c r="L36" t="s">
        <v>214</v>
      </c>
    </row>
    <row r="37" spans="1:12" x14ac:dyDescent="0.35">
      <c r="A37" t="s">
        <v>31</v>
      </c>
      <c r="B37" t="s">
        <v>220</v>
      </c>
      <c r="C37" t="s">
        <v>221</v>
      </c>
      <c r="D37" t="s">
        <v>222</v>
      </c>
      <c r="E37" t="s">
        <v>223</v>
      </c>
      <c r="F37" t="s">
        <v>224</v>
      </c>
      <c r="G37" t="str">
        <f t="shared" si="1"/>
        <v>Juan 1, 29-34</v>
      </c>
      <c r="I37" t="s">
        <v>230</v>
      </c>
    </row>
    <row r="38" spans="1:12" x14ac:dyDescent="0.35">
      <c r="A38" t="s">
        <v>31</v>
      </c>
      <c r="B38" t="s">
        <v>225</v>
      </c>
      <c r="C38" t="s">
        <v>226</v>
      </c>
      <c r="D38" t="s">
        <v>227</v>
      </c>
      <c r="E38" t="s">
        <v>228</v>
      </c>
      <c r="F38" t="s">
        <v>229</v>
      </c>
      <c r="G38" t="str">
        <f t="shared" si="1"/>
        <v>Mateo 4, 12-23 / Mateo 4, 12-17</v>
      </c>
      <c r="I38" t="s">
        <v>231</v>
      </c>
      <c r="J38" t="s">
        <v>232</v>
      </c>
    </row>
    <row r="39" spans="1:12" x14ac:dyDescent="0.35">
      <c r="A39" t="s">
        <v>31</v>
      </c>
      <c r="B39" t="s">
        <v>233</v>
      </c>
      <c r="C39" t="s">
        <v>234</v>
      </c>
      <c r="D39" t="s">
        <v>235</v>
      </c>
      <c r="E39" t="s">
        <v>236</v>
      </c>
      <c r="F39" t="s">
        <v>237</v>
      </c>
      <c r="G39" t="str">
        <f t="shared" si="1"/>
        <v>Mateo 5, 1-12a</v>
      </c>
      <c r="I39" t="s">
        <v>384</v>
      </c>
    </row>
    <row r="40" spans="1:12" x14ac:dyDescent="0.35">
      <c r="A40" t="s">
        <v>31</v>
      </c>
      <c r="B40" t="s">
        <v>238</v>
      </c>
      <c r="C40" t="s">
        <v>239</v>
      </c>
      <c r="D40" t="s">
        <v>240</v>
      </c>
      <c r="E40" t="s">
        <v>241</v>
      </c>
      <c r="F40" t="s">
        <v>242</v>
      </c>
      <c r="G40" t="str">
        <f t="shared" si="1"/>
        <v>Mateo 5, 13-16</v>
      </c>
      <c r="I40" t="s">
        <v>385</v>
      </c>
    </row>
    <row r="41" spans="1:12" x14ac:dyDescent="0.35">
      <c r="A41" t="s">
        <v>31</v>
      </c>
      <c r="B41" t="s">
        <v>243</v>
      </c>
      <c r="C41" t="s">
        <v>244</v>
      </c>
      <c r="D41" t="s">
        <v>245</v>
      </c>
      <c r="E41" t="s">
        <v>246</v>
      </c>
      <c r="F41" t="s">
        <v>247</v>
      </c>
      <c r="G41" t="str">
        <f t="shared" si="1"/>
        <v>Mateo 5, 17-37 / Mateo 5, 20-22a. 27-28. 33-34a. 37</v>
      </c>
      <c r="I41" t="s">
        <v>386</v>
      </c>
      <c r="J41" t="s">
        <v>387</v>
      </c>
    </row>
    <row r="42" spans="1:12" x14ac:dyDescent="0.35">
      <c r="A42" t="s">
        <v>31</v>
      </c>
      <c r="B42" t="s">
        <v>248</v>
      </c>
      <c r="C42" t="s">
        <v>249</v>
      </c>
      <c r="D42" t="s">
        <v>250</v>
      </c>
      <c r="E42" t="s">
        <v>251</v>
      </c>
      <c r="F42" t="s">
        <v>252</v>
      </c>
      <c r="G42" t="str">
        <f t="shared" si="1"/>
        <v>Mateo 5, 38-48</v>
      </c>
      <c r="I42" t="s">
        <v>388</v>
      </c>
    </row>
    <row r="43" spans="1:12" x14ac:dyDescent="0.35">
      <c r="A43" t="s">
        <v>31</v>
      </c>
      <c r="B43" t="s">
        <v>253</v>
      </c>
      <c r="C43" t="s">
        <v>254</v>
      </c>
      <c r="D43" t="s">
        <v>255</v>
      </c>
      <c r="E43" t="s">
        <v>256</v>
      </c>
      <c r="F43" t="s">
        <v>257</v>
      </c>
      <c r="G43" t="str">
        <f t="shared" si="1"/>
        <v>Mateo 6, 24-34</v>
      </c>
      <c r="I43" t="s">
        <v>389</v>
      </c>
    </row>
    <row r="44" spans="1:12" x14ac:dyDescent="0.35">
      <c r="A44" t="s">
        <v>31</v>
      </c>
      <c r="B44" t="s">
        <v>258</v>
      </c>
      <c r="C44" t="s">
        <v>259</v>
      </c>
      <c r="D44" t="s">
        <v>260</v>
      </c>
      <c r="E44" t="s">
        <v>261</v>
      </c>
      <c r="F44" t="s">
        <v>262</v>
      </c>
      <c r="G44" t="str">
        <f t="shared" si="1"/>
        <v>Mateo 7, 21-27</v>
      </c>
      <c r="I44" t="s">
        <v>390</v>
      </c>
    </row>
    <row r="45" spans="1:12" x14ac:dyDescent="0.35">
      <c r="A45" t="s">
        <v>31</v>
      </c>
      <c r="B45" t="s">
        <v>263</v>
      </c>
      <c r="C45" t="s">
        <v>264</v>
      </c>
      <c r="D45" t="s">
        <v>265</v>
      </c>
      <c r="E45" t="s">
        <v>266</v>
      </c>
      <c r="F45" t="s">
        <v>267</v>
      </c>
      <c r="G45" t="str">
        <f t="shared" si="1"/>
        <v>Mateo 9, 9-13</v>
      </c>
      <c r="I45" t="s">
        <v>391</v>
      </c>
    </row>
    <row r="46" spans="1:12" x14ac:dyDescent="0.35">
      <c r="A46" t="s">
        <v>31</v>
      </c>
      <c r="B46" t="s">
        <v>268</v>
      </c>
      <c r="C46" t="s">
        <v>269</v>
      </c>
      <c r="D46" t="s">
        <v>270</v>
      </c>
      <c r="E46" t="s">
        <v>271</v>
      </c>
      <c r="F46" t="s">
        <v>272</v>
      </c>
      <c r="G46" t="str">
        <f t="shared" si="1"/>
        <v>Mateo 9, 36—10, 8</v>
      </c>
      <c r="I46" t="s">
        <v>392</v>
      </c>
    </row>
    <row r="47" spans="1:12" x14ac:dyDescent="0.35">
      <c r="A47" t="s">
        <v>31</v>
      </c>
      <c r="B47" t="s">
        <v>273</v>
      </c>
      <c r="C47" t="s">
        <v>274</v>
      </c>
      <c r="D47" t="s">
        <v>275</v>
      </c>
      <c r="E47" t="s">
        <v>276</v>
      </c>
      <c r="F47" t="s">
        <v>277</v>
      </c>
      <c r="G47" t="str">
        <f t="shared" si="1"/>
        <v>Mateo 10, 26-33</v>
      </c>
      <c r="I47" t="s">
        <v>393</v>
      </c>
    </row>
    <row r="48" spans="1:12" x14ac:dyDescent="0.35">
      <c r="A48" t="s">
        <v>31</v>
      </c>
      <c r="B48" t="s">
        <v>278</v>
      </c>
      <c r="C48" t="s">
        <v>279</v>
      </c>
      <c r="D48" t="s">
        <v>280</v>
      </c>
      <c r="E48" t="s">
        <v>281</v>
      </c>
      <c r="F48" t="s">
        <v>282</v>
      </c>
      <c r="G48" t="str">
        <f t="shared" si="1"/>
        <v>Mateo 10, 37-42</v>
      </c>
      <c r="I48" t="s">
        <v>394</v>
      </c>
    </row>
    <row r="49" spans="1:10" x14ac:dyDescent="0.35">
      <c r="A49" t="s">
        <v>31</v>
      </c>
      <c r="B49" t="s">
        <v>283</v>
      </c>
      <c r="C49" t="s">
        <v>284</v>
      </c>
      <c r="D49" t="s">
        <v>285</v>
      </c>
      <c r="E49" t="s">
        <v>286</v>
      </c>
      <c r="F49" t="s">
        <v>287</v>
      </c>
      <c r="G49" t="str">
        <f t="shared" si="1"/>
        <v>Mateo 11, 25-30</v>
      </c>
      <c r="I49" t="s">
        <v>219</v>
      </c>
    </row>
    <row r="50" spans="1:10" x14ac:dyDescent="0.35">
      <c r="A50" t="s">
        <v>31</v>
      </c>
      <c r="B50" t="s">
        <v>364</v>
      </c>
      <c r="C50" t="s">
        <v>288</v>
      </c>
      <c r="D50" t="s">
        <v>289</v>
      </c>
      <c r="E50" t="s">
        <v>290</v>
      </c>
      <c r="F50" t="s">
        <v>291</v>
      </c>
      <c r="G50" t="str">
        <f t="shared" si="1"/>
        <v>Mateo 13, 1-23 / Mateo 13, 1-9</v>
      </c>
      <c r="I50" t="s">
        <v>395</v>
      </c>
      <c r="J50" t="s">
        <v>396</v>
      </c>
    </row>
    <row r="51" spans="1:10" x14ac:dyDescent="0.35">
      <c r="A51" t="s">
        <v>31</v>
      </c>
      <c r="B51" t="s">
        <v>365</v>
      </c>
      <c r="C51" t="s">
        <v>292</v>
      </c>
      <c r="D51" t="s">
        <v>293</v>
      </c>
      <c r="E51" t="s">
        <v>294</v>
      </c>
      <c r="F51" t="s">
        <v>287</v>
      </c>
      <c r="G51" t="str">
        <f t="shared" si="1"/>
        <v>Mateo 13, 24-43 / Mateo 13, 24-30</v>
      </c>
      <c r="I51" t="s">
        <v>397</v>
      </c>
      <c r="J51" t="s">
        <v>398</v>
      </c>
    </row>
    <row r="52" spans="1:10" x14ac:dyDescent="0.35">
      <c r="A52" t="s">
        <v>31</v>
      </c>
      <c r="B52" t="s">
        <v>366</v>
      </c>
      <c r="C52" t="s">
        <v>295</v>
      </c>
      <c r="D52" t="s">
        <v>296</v>
      </c>
      <c r="E52" t="s">
        <v>297</v>
      </c>
      <c r="F52" t="s">
        <v>287</v>
      </c>
      <c r="G52" t="str">
        <f t="shared" si="1"/>
        <v>Mateo 13, 44-52 / Mateo 13, 44-46</v>
      </c>
      <c r="I52" t="s">
        <v>399</v>
      </c>
      <c r="J52" t="s">
        <v>400</v>
      </c>
    </row>
    <row r="53" spans="1:10" x14ac:dyDescent="0.35">
      <c r="A53" t="s">
        <v>31</v>
      </c>
      <c r="B53" t="s">
        <v>367</v>
      </c>
      <c r="C53" t="s">
        <v>298</v>
      </c>
      <c r="D53" t="s">
        <v>299</v>
      </c>
      <c r="E53" t="s">
        <v>300</v>
      </c>
      <c r="F53" t="s">
        <v>301</v>
      </c>
      <c r="G53" t="str">
        <f t="shared" si="1"/>
        <v>Mateo 14, 13-21</v>
      </c>
      <c r="I53" t="s">
        <v>401</v>
      </c>
    </row>
    <row r="54" spans="1:10" x14ac:dyDescent="0.35">
      <c r="A54" t="s">
        <v>31</v>
      </c>
      <c r="B54" t="s">
        <v>368</v>
      </c>
      <c r="C54" t="s">
        <v>302</v>
      </c>
      <c r="D54" t="s">
        <v>303</v>
      </c>
      <c r="E54" t="s">
        <v>304</v>
      </c>
      <c r="F54" t="s">
        <v>305</v>
      </c>
      <c r="G54" t="str">
        <f t="shared" si="1"/>
        <v>Mateo 14, 22-33</v>
      </c>
      <c r="I54" t="s">
        <v>402</v>
      </c>
    </row>
    <row r="55" spans="1:10" x14ac:dyDescent="0.35">
      <c r="A55" t="s">
        <v>31</v>
      </c>
      <c r="B55" t="s">
        <v>369</v>
      </c>
      <c r="C55" t="s">
        <v>306</v>
      </c>
      <c r="D55" t="s">
        <v>307</v>
      </c>
      <c r="E55" t="s">
        <v>308</v>
      </c>
      <c r="F55" t="s">
        <v>229</v>
      </c>
      <c r="G55" t="str">
        <f t="shared" si="1"/>
        <v>Mateo 15, 21-28</v>
      </c>
      <c r="I55" t="s">
        <v>419</v>
      </c>
    </row>
    <row r="56" spans="1:10" x14ac:dyDescent="0.35">
      <c r="A56" t="s">
        <v>31</v>
      </c>
      <c r="B56" t="s">
        <v>370</v>
      </c>
      <c r="C56" t="s">
        <v>309</v>
      </c>
      <c r="D56" t="s">
        <v>310</v>
      </c>
      <c r="E56" t="s">
        <v>311</v>
      </c>
      <c r="F56" t="s">
        <v>312</v>
      </c>
      <c r="G56" t="str">
        <f t="shared" si="1"/>
        <v>Mateo 16, 13-20</v>
      </c>
      <c r="I56" t="s">
        <v>403</v>
      </c>
    </row>
    <row r="57" spans="1:10" x14ac:dyDescent="0.35">
      <c r="A57" t="s">
        <v>31</v>
      </c>
      <c r="B57" t="s">
        <v>371</v>
      </c>
      <c r="C57" t="s">
        <v>313</v>
      </c>
      <c r="D57" t="s">
        <v>314</v>
      </c>
      <c r="E57" t="s">
        <v>315</v>
      </c>
      <c r="F57" t="s">
        <v>316</v>
      </c>
      <c r="G57" t="str">
        <f t="shared" si="1"/>
        <v>Mateo 16, 21-27</v>
      </c>
      <c r="I57" t="s">
        <v>404</v>
      </c>
    </row>
    <row r="58" spans="1:10" x14ac:dyDescent="0.35">
      <c r="A58" t="s">
        <v>31</v>
      </c>
      <c r="B58" t="s">
        <v>372</v>
      </c>
      <c r="C58" t="s">
        <v>317</v>
      </c>
      <c r="D58" t="s">
        <v>318</v>
      </c>
      <c r="E58" t="s">
        <v>319</v>
      </c>
      <c r="F58" t="s">
        <v>320</v>
      </c>
      <c r="G58" t="str">
        <f t="shared" si="1"/>
        <v>Mateo 18, 15-20</v>
      </c>
      <c r="I58" t="s">
        <v>405</v>
      </c>
    </row>
    <row r="59" spans="1:10" x14ac:dyDescent="0.35">
      <c r="A59" t="s">
        <v>31</v>
      </c>
      <c r="B59" t="s">
        <v>373</v>
      </c>
      <c r="C59" t="s">
        <v>321</v>
      </c>
      <c r="D59" t="s">
        <v>322</v>
      </c>
      <c r="E59" t="s">
        <v>323</v>
      </c>
      <c r="F59" t="s">
        <v>324</v>
      </c>
      <c r="G59" t="str">
        <f t="shared" si="1"/>
        <v>Mateo 18, 21-35</v>
      </c>
      <c r="I59" t="s">
        <v>406</v>
      </c>
    </row>
    <row r="60" spans="1:10" x14ac:dyDescent="0.35">
      <c r="A60" t="s">
        <v>31</v>
      </c>
      <c r="B60" t="s">
        <v>374</v>
      </c>
      <c r="C60" t="s">
        <v>325</v>
      </c>
      <c r="D60" t="s">
        <v>326</v>
      </c>
      <c r="E60" t="s">
        <v>327</v>
      </c>
      <c r="F60" t="s">
        <v>328</v>
      </c>
      <c r="G60" t="str">
        <f t="shared" si="1"/>
        <v>Mateo 20, 1-16</v>
      </c>
      <c r="I60" t="s">
        <v>407</v>
      </c>
    </row>
    <row r="61" spans="1:10" x14ac:dyDescent="0.35">
      <c r="A61" t="s">
        <v>31</v>
      </c>
      <c r="B61" t="s">
        <v>375</v>
      </c>
      <c r="C61" t="s">
        <v>329</v>
      </c>
      <c r="D61" t="s">
        <v>330</v>
      </c>
      <c r="E61" t="s">
        <v>331</v>
      </c>
      <c r="F61" t="s">
        <v>332</v>
      </c>
      <c r="G61" t="str">
        <f t="shared" si="1"/>
        <v>Mateo 21, 28-32</v>
      </c>
      <c r="I61" t="s">
        <v>408</v>
      </c>
    </row>
    <row r="62" spans="1:10" x14ac:dyDescent="0.35">
      <c r="A62" t="s">
        <v>31</v>
      </c>
      <c r="B62" t="s">
        <v>376</v>
      </c>
      <c r="C62" t="s">
        <v>333</v>
      </c>
      <c r="D62" t="s">
        <v>334</v>
      </c>
      <c r="E62" t="s">
        <v>335</v>
      </c>
      <c r="F62" t="s">
        <v>336</v>
      </c>
      <c r="G62" t="str">
        <f t="shared" si="1"/>
        <v>Mateo 21, 33-43</v>
      </c>
      <c r="I62" t="s">
        <v>409</v>
      </c>
    </row>
    <row r="63" spans="1:10" x14ac:dyDescent="0.35">
      <c r="A63" t="s">
        <v>31</v>
      </c>
      <c r="B63" t="s">
        <v>377</v>
      </c>
      <c r="C63" t="s">
        <v>337</v>
      </c>
      <c r="D63" t="s">
        <v>338</v>
      </c>
      <c r="E63" t="s">
        <v>339</v>
      </c>
      <c r="F63" t="s">
        <v>316</v>
      </c>
      <c r="G63" t="str">
        <f t="shared" si="1"/>
        <v>Mateo 22, 1-14 / Mateo 22, 1-10</v>
      </c>
      <c r="I63" t="s">
        <v>410</v>
      </c>
      <c r="J63" t="s">
        <v>411</v>
      </c>
    </row>
    <row r="64" spans="1:10" x14ac:dyDescent="0.35">
      <c r="A64" t="s">
        <v>31</v>
      </c>
      <c r="B64" t="s">
        <v>378</v>
      </c>
      <c r="C64" t="s">
        <v>340</v>
      </c>
      <c r="D64" t="s">
        <v>341</v>
      </c>
      <c r="E64" t="s">
        <v>342</v>
      </c>
      <c r="F64" t="s">
        <v>343</v>
      </c>
      <c r="G64" t="str">
        <f t="shared" si="1"/>
        <v>Mateo 22, 15-21</v>
      </c>
      <c r="I64" t="s">
        <v>412</v>
      </c>
    </row>
    <row r="65" spans="1:10" x14ac:dyDescent="0.35">
      <c r="A65" t="s">
        <v>31</v>
      </c>
      <c r="B65" t="s">
        <v>379</v>
      </c>
      <c r="C65" t="s">
        <v>344</v>
      </c>
      <c r="D65" t="s">
        <v>345</v>
      </c>
      <c r="E65" t="s">
        <v>346</v>
      </c>
      <c r="F65" t="s">
        <v>347</v>
      </c>
      <c r="G65" t="str">
        <f t="shared" si="1"/>
        <v>Mateo 22, 34-40</v>
      </c>
      <c r="I65" t="s">
        <v>413</v>
      </c>
    </row>
    <row r="66" spans="1:10" x14ac:dyDescent="0.35">
      <c r="A66" t="s">
        <v>31</v>
      </c>
      <c r="B66" t="s">
        <v>380</v>
      </c>
      <c r="C66" t="s">
        <v>348</v>
      </c>
      <c r="D66" t="s">
        <v>349</v>
      </c>
      <c r="E66" t="s">
        <v>350</v>
      </c>
      <c r="F66" t="s">
        <v>351</v>
      </c>
      <c r="G66" t="str">
        <f t="shared" si="1"/>
        <v>Mateo 23, 1-12</v>
      </c>
      <c r="I66" t="s">
        <v>414</v>
      </c>
    </row>
    <row r="67" spans="1:10" x14ac:dyDescent="0.35">
      <c r="A67" t="s">
        <v>31</v>
      </c>
      <c r="B67" t="s">
        <v>381</v>
      </c>
      <c r="C67" t="s">
        <v>352</v>
      </c>
      <c r="D67" t="s">
        <v>353</v>
      </c>
      <c r="E67" t="s">
        <v>354</v>
      </c>
      <c r="F67" t="s">
        <v>355</v>
      </c>
      <c r="G67" t="str">
        <f t="shared" si="1"/>
        <v>Mateo 25, 1-13</v>
      </c>
      <c r="I67" t="s">
        <v>415</v>
      </c>
    </row>
    <row r="68" spans="1:10" x14ac:dyDescent="0.35">
      <c r="A68" t="s">
        <v>31</v>
      </c>
      <c r="B68" t="s">
        <v>382</v>
      </c>
      <c r="C68" t="s">
        <v>356</v>
      </c>
      <c r="D68" t="s">
        <v>357</v>
      </c>
      <c r="E68" t="s">
        <v>358</v>
      </c>
      <c r="F68" t="s">
        <v>359</v>
      </c>
      <c r="G68" t="str">
        <f t="shared" si="1"/>
        <v>Mateo 25, 14-30 / Mateo 25, 14-15. 19-21</v>
      </c>
      <c r="I68" t="s">
        <v>416</v>
      </c>
      <c r="J68" t="s">
        <v>417</v>
      </c>
    </row>
    <row r="69" spans="1:10" x14ac:dyDescent="0.35">
      <c r="A69" t="s">
        <v>31</v>
      </c>
      <c r="B69" t="s">
        <v>383</v>
      </c>
      <c r="C69" t="s">
        <v>360</v>
      </c>
      <c r="D69" t="s">
        <v>361</v>
      </c>
      <c r="E69" t="s">
        <v>362</v>
      </c>
      <c r="F69" t="s">
        <v>363</v>
      </c>
      <c r="G69" t="str">
        <f t="shared" si="1"/>
        <v>Mateo 25, 31-46</v>
      </c>
      <c r="I69" t="s">
        <v>418</v>
      </c>
    </row>
    <row r="70" spans="1:10" x14ac:dyDescent="0.35">
      <c r="A70" t="s">
        <v>429</v>
      </c>
      <c r="B70" t="s">
        <v>430</v>
      </c>
      <c r="C70" s="1" t="s">
        <v>420</v>
      </c>
      <c r="D70" s="2" t="s">
        <v>421</v>
      </c>
      <c r="E70" s="3" t="s">
        <v>422</v>
      </c>
      <c r="F70" s="2" t="s">
        <v>423</v>
      </c>
    </row>
    <row r="71" spans="1:10" x14ac:dyDescent="0.35">
      <c r="A71" t="s">
        <v>429</v>
      </c>
      <c r="B71" t="s">
        <v>424</v>
      </c>
      <c r="C71" s="2" t="s">
        <v>425</v>
      </c>
      <c r="D71" t="s">
        <v>426</v>
      </c>
      <c r="E71" s="3" t="s">
        <v>427</v>
      </c>
      <c r="F71" s="2" t="s">
        <v>428</v>
      </c>
    </row>
    <row r="72" spans="1:10" x14ac:dyDescent="0.35">
      <c r="A72" t="s">
        <v>429</v>
      </c>
      <c r="B72" t="s">
        <v>431</v>
      </c>
      <c r="C72" t="s">
        <v>436</v>
      </c>
      <c r="D72" s="2" t="s">
        <v>437</v>
      </c>
      <c r="E72" s="3" t="s">
        <v>438</v>
      </c>
      <c r="F72" s="2" t="s">
        <v>439</v>
      </c>
    </row>
    <row r="73" spans="1:10" x14ac:dyDescent="0.35">
      <c r="A73" t="s">
        <v>429</v>
      </c>
      <c r="B73" t="s">
        <v>432</v>
      </c>
      <c r="C73" t="s">
        <v>440</v>
      </c>
      <c r="D73" t="s">
        <v>441</v>
      </c>
      <c r="E73" s="3" t="s">
        <v>442</v>
      </c>
      <c r="F73" s="2" t="s">
        <v>443</v>
      </c>
    </row>
    <row r="74" spans="1:10" x14ac:dyDescent="0.35">
      <c r="A74" t="s">
        <v>429</v>
      </c>
      <c r="B74" t="s">
        <v>433</v>
      </c>
      <c r="C74" t="s">
        <v>444</v>
      </c>
      <c r="D74" s="2" t="s">
        <v>445</v>
      </c>
      <c r="E74" s="3" t="s">
        <v>446</v>
      </c>
      <c r="F74" s="2" t="s">
        <v>447</v>
      </c>
    </row>
    <row r="75" spans="1:10" x14ac:dyDescent="0.35">
      <c r="A75" t="s">
        <v>429</v>
      </c>
      <c r="B75" t="s">
        <v>434</v>
      </c>
      <c r="C75" t="s">
        <v>448</v>
      </c>
      <c r="D75" s="2" t="s">
        <v>449</v>
      </c>
      <c r="E75" s="3" t="s">
        <v>22</v>
      </c>
      <c r="F75" s="2" t="s">
        <v>450</v>
      </c>
    </row>
    <row r="76" spans="1:10" x14ac:dyDescent="0.35">
      <c r="A76" t="s">
        <v>435</v>
      </c>
      <c r="B76" t="s">
        <v>430</v>
      </c>
      <c r="G76">
        <f t="shared" ref="G76:G114" si="2">IF(J76="",I76,_xlfn.CONCAT(I76," / ",J76))</f>
        <v>0</v>
      </c>
    </row>
    <row r="77" spans="1:10" x14ac:dyDescent="0.35">
      <c r="A77" t="s">
        <v>435</v>
      </c>
      <c r="B77" t="s">
        <v>424</v>
      </c>
      <c r="G77">
        <f t="shared" si="2"/>
        <v>0</v>
      </c>
    </row>
    <row r="78" spans="1:10" x14ac:dyDescent="0.35">
      <c r="A78" t="s">
        <v>435</v>
      </c>
      <c r="B78" t="s">
        <v>431</v>
      </c>
      <c r="G78">
        <f t="shared" si="2"/>
        <v>0</v>
      </c>
    </row>
    <row r="79" spans="1:10" x14ac:dyDescent="0.35">
      <c r="A79" t="s">
        <v>435</v>
      </c>
      <c r="B79" t="s">
        <v>432</v>
      </c>
      <c r="G79">
        <f t="shared" si="2"/>
        <v>0</v>
      </c>
    </row>
    <row r="80" spans="1:10" x14ac:dyDescent="0.35">
      <c r="A80" t="s">
        <v>435</v>
      </c>
      <c r="B80" t="s">
        <v>433</v>
      </c>
      <c r="G80">
        <f t="shared" si="2"/>
        <v>0</v>
      </c>
    </row>
    <row r="81" spans="1:7" x14ac:dyDescent="0.35">
      <c r="A81" t="s">
        <v>435</v>
      </c>
      <c r="B81" t="s">
        <v>434</v>
      </c>
      <c r="G81">
        <f t="shared" si="2"/>
        <v>0</v>
      </c>
    </row>
    <row r="82" spans="1:7" x14ac:dyDescent="0.35">
      <c r="G82">
        <f t="shared" si="2"/>
        <v>0</v>
      </c>
    </row>
    <row r="83" spans="1:7" x14ac:dyDescent="0.35">
      <c r="G83">
        <f t="shared" si="2"/>
        <v>0</v>
      </c>
    </row>
    <row r="84" spans="1:7" x14ac:dyDescent="0.35">
      <c r="G84">
        <f t="shared" si="2"/>
        <v>0</v>
      </c>
    </row>
    <row r="85" spans="1:7" x14ac:dyDescent="0.35">
      <c r="G85">
        <f t="shared" si="2"/>
        <v>0</v>
      </c>
    </row>
    <row r="86" spans="1:7" x14ac:dyDescent="0.35">
      <c r="G86">
        <f t="shared" si="2"/>
        <v>0</v>
      </c>
    </row>
    <row r="87" spans="1:7" x14ac:dyDescent="0.35">
      <c r="G87">
        <f t="shared" si="2"/>
        <v>0</v>
      </c>
    </row>
    <row r="88" spans="1:7" x14ac:dyDescent="0.35">
      <c r="G88">
        <f t="shared" si="2"/>
        <v>0</v>
      </c>
    </row>
    <row r="89" spans="1:7" x14ac:dyDescent="0.35">
      <c r="G89">
        <f t="shared" si="2"/>
        <v>0</v>
      </c>
    </row>
    <row r="90" spans="1:7" x14ac:dyDescent="0.35">
      <c r="G90">
        <f t="shared" si="2"/>
        <v>0</v>
      </c>
    </row>
    <row r="91" spans="1:7" x14ac:dyDescent="0.35">
      <c r="G91">
        <f t="shared" si="2"/>
        <v>0</v>
      </c>
    </row>
    <row r="92" spans="1:7" x14ac:dyDescent="0.35">
      <c r="G92">
        <f t="shared" si="2"/>
        <v>0</v>
      </c>
    </row>
    <row r="93" spans="1:7" x14ac:dyDescent="0.35">
      <c r="G93">
        <f t="shared" si="2"/>
        <v>0</v>
      </c>
    </row>
    <row r="94" spans="1:7" x14ac:dyDescent="0.35">
      <c r="G94">
        <f t="shared" si="2"/>
        <v>0</v>
      </c>
    </row>
    <row r="95" spans="1:7" x14ac:dyDescent="0.35">
      <c r="G95">
        <f t="shared" si="2"/>
        <v>0</v>
      </c>
    </row>
    <row r="96" spans="1:7" x14ac:dyDescent="0.35">
      <c r="G96">
        <f t="shared" si="2"/>
        <v>0</v>
      </c>
    </row>
    <row r="97" spans="7:7" x14ac:dyDescent="0.35">
      <c r="G97">
        <f t="shared" si="2"/>
        <v>0</v>
      </c>
    </row>
    <row r="98" spans="7:7" x14ac:dyDescent="0.35">
      <c r="G98">
        <f t="shared" si="2"/>
        <v>0</v>
      </c>
    </row>
    <row r="99" spans="7:7" x14ac:dyDescent="0.35">
      <c r="G99">
        <f t="shared" si="2"/>
        <v>0</v>
      </c>
    </row>
    <row r="100" spans="7:7" x14ac:dyDescent="0.35">
      <c r="G100">
        <f t="shared" si="2"/>
        <v>0</v>
      </c>
    </row>
    <row r="101" spans="7:7" x14ac:dyDescent="0.35">
      <c r="G101">
        <f t="shared" si="2"/>
        <v>0</v>
      </c>
    </row>
    <row r="102" spans="7:7" x14ac:dyDescent="0.35">
      <c r="G102">
        <f t="shared" si="2"/>
        <v>0</v>
      </c>
    </row>
    <row r="103" spans="7:7" x14ac:dyDescent="0.35">
      <c r="G103">
        <f t="shared" si="2"/>
        <v>0</v>
      </c>
    </row>
    <row r="104" spans="7:7" x14ac:dyDescent="0.35">
      <c r="G104">
        <f t="shared" si="2"/>
        <v>0</v>
      </c>
    </row>
    <row r="105" spans="7:7" x14ac:dyDescent="0.35">
      <c r="G105">
        <f t="shared" si="2"/>
        <v>0</v>
      </c>
    </row>
    <row r="106" spans="7:7" x14ac:dyDescent="0.35">
      <c r="G106">
        <f t="shared" si="2"/>
        <v>0</v>
      </c>
    </row>
    <row r="107" spans="7:7" x14ac:dyDescent="0.35">
      <c r="G107">
        <f t="shared" si="2"/>
        <v>0</v>
      </c>
    </row>
    <row r="108" spans="7:7" x14ac:dyDescent="0.35">
      <c r="G108">
        <f t="shared" si="2"/>
        <v>0</v>
      </c>
    </row>
    <row r="109" spans="7:7" x14ac:dyDescent="0.35">
      <c r="G109">
        <f t="shared" si="2"/>
        <v>0</v>
      </c>
    </row>
    <row r="110" spans="7:7" x14ac:dyDescent="0.35">
      <c r="G110">
        <f t="shared" si="2"/>
        <v>0</v>
      </c>
    </row>
    <row r="111" spans="7:7" x14ac:dyDescent="0.35">
      <c r="G111">
        <f t="shared" si="2"/>
        <v>0</v>
      </c>
    </row>
    <row r="112" spans="7:7" x14ac:dyDescent="0.35">
      <c r="G112">
        <f t="shared" si="2"/>
        <v>0</v>
      </c>
    </row>
    <row r="113" spans="7:7" x14ac:dyDescent="0.35">
      <c r="G113">
        <f t="shared" si="2"/>
        <v>0</v>
      </c>
    </row>
    <row r="114" spans="7:7" x14ac:dyDescent="0.35">
      <c r="G114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BACE-E0D0-47E0-A7DB-4F0CC57B5A5B}">
  <dimension ref="A2:H205"/>
  <sheetViews>
    <sheetView tabSelected="1" topLeftCell="A95" zoomScale="175" zoomScaleNormal="175" workbookViewId="0">
      <selection activeCell="D123" sqref="D123"/>
    </sheetView>
  </sheetViews>
  <sheetFormatPr defaultRowHeight="14.5" x14ac:dyDescent="0.35"/>
  <cols>
    <col min="1" max="1" width="3" bestFit="1" customWidth="1"/>
    <col min="2" max="2" width="10.6328125" bestFit="1" customWidth="1"/>
    <col min="3" max="3" width="8.81640625" bestFit="1" customWidth="1"/>
    <col min="4" max="4" width="35.1796875" bestFit="1" customWidth="1"/>
    <col min="5" max="5" width="35.26953125" bestFit="1" customWidth="1"/>
    <col min="6" max="6" width="14.54296875" customWidth="1"/>
    <col min="7" max="7" width="32.54296875" bestFit="1" customWidth="1"/>
    <col min="8" max="8" width="1.90625" bestFit="1" customWidth="1"/>
  </cols>
  <sheetData>
    <row r="2" spans="1:8" x14ac:dyDescent="0.35">
      <c r="A2">
        <v>1</v>
      </c>
      <c r="B2" t="str">
        <f t="shared" ref="B2:B56" si="0">_xlfn.CONCAT("TO-s",A2,"-PAR")</f>
        <v>TO-s1-PAR</v>
      </c>
      <c r="C2" t="s">
        <v>430</v>
      </c>
      <c r="D2" t="s">
        <v>451</v>
      </c>
      <c r="E2" t="s">
        <v>421</v>
      </c>
      <c r="F2" t="s">
        <v>422</v>
      </c>
      <c r="G2" t="s">
        <v>423</v>
      </c>
    </row>
    <row r="3" spans="1:8" x14ac:dyDescent="0.35">
      <c r="A3">
        <v>1</v>
      </c>
      <c r="B3" t="str">
        <f t="shared" si="0"/>
        <v>TO-s1-PAR</v>
      </c>
      <c r="C3" t="s">
        <v>424</v>
      </c>
      <c r="D3" t="s">
        <v>452</v>
      </c>
      <c r="E3" t="s">
        <v>426</v>
      </c>
      <c r="F3" t="s">
        <v>427</v>
      </c>
      <c r="G3" t="s">
        <v>428</v>
      </c>
    </row>
    <row r="4" spans="1:8" x14ac:dyDescent="0.35">
      <c r="A4">
        <v>1</v>
      </c>
      <c r="B4" t="str">
        <f t="shared" si="0"/>
        <v>TO-s1-PAR</v>
      </c>
      <c r="C4" t="s">
        <v>431</v>
      </c>
      <c r="D4" t="s">
        <v>436</v>
      </c>
      <c r="E4" t="s">
        <v>437</v>
      </c>
      <c r="F4" t="s">
        <v>438</v>
      </c>
      <c r="G4" t="s">
        <v>439</v>
      </c>
    </row>
    <row r="5" spans="1:8" x14ac:dyDescent="0.35">
      <c r="A5">
        <v>1</v>
      </c>
      <c r="B5" t="str">
        <f t="shared" si="0"/>
        <v>TO-s1-PAR</v>
      </c>
      <c r="C5" t="s">
        <v>432</v>
      </c>
      <c r="D5" t="s">
        <v>440</v>
      </c>
      <c r="E5" t="s">
        <v>441</v>
      </c>
      <c r="F5" t="s">
        <v>442</v>
      </c>
      <c r="G5" t="s">
        <v>443</v>
      </c>
    </row>
    <row r="6" spans="1:8" x14ac:dyDescent="0.35">
      <c r="A6">
        <v>1</v>
      </c>
      <c r="B6" t="str">
        <f t="shared" si="0"/>
        <v>TO-s1-PAR</v>
      </c>
      <c r="C6" t="s">
        <v>433</v>
      </c>
      <c r="D6" t="s">
        <v>444</v>
      </c>
      <c r="E6" t="s">
        <v>445</v>
      </c>
      <c r="F6" t="s">
        <v>446</v>
      </c>
      <c r="G6" t="s">
        <v>447</v>
      </c>
    </row>
    <row r="7" spans="1:8" x14ac:dyDescent="0.35">
      <c r="A7">
        <v>1</v>
      </c>
      <c r="B7" t="str">
        <f t="shared" si="0"/>
        <v>TO-s1-PAR</v>
      </c>
      <c r="C7" t="s">
        <v>434</v>
      </c>
      <c r="D7" t="s">
        <v>448</v>
      </c>
      <c r="E7" t="s">
        <v>449</v>
      </c>
      <c r="F7" t="s">
        <v>22</v>
      </c>
      <c r="G7" t="s">
        <v>450</v>
      </c>
    </row>
    <row r="8" spans="1:8" x14ac:dyDescent="0.35">
      <c r="A8">
        <v>2</v>
      </c>
      <c r="B8" t="str">
        <f t="shared" si="0"/>
        <v>TO-s2-PAR</v>
      </c>
      <c r="C8" t="s">
        <v>430</v>
      </c>
      <c r="D8" t="s">
        <v>453</v>
      </c>
      <c r="E8" t="s">
        <v>454</v>
      </c>
      <c r="F8" t="s">
        <v>455</v>
      </c>
      <c r="G8" t="s">
        <v>456</v>
      </c>
      <c r="H8">
        <f t="shared" ref="H8:H13" si="1">IF(K8="",J8,_xlfn.CONCAT(J8," / ",K8))</f>
        <v>0</v>
      </c>
    </row>
    <row r="9" spans="1:8" x14ac:dyDescent="0.35">
      <c r="A9">
        <v>2</v>
      </c>
      <c r="B9" t="str">
        <f t="shared" si="0"/>
        <v>TO-s2-PAR</v>
      </c>
      <c r="C9" t="s">
        <v>424</v>
      </c>
      <c r="D9" t="s">
        <v>457</v>
      </c>
      <c r="E9" t="s">
        <v>458</v>
      </c>
      <c r="F9" t="s">
        <v>459</v>
      </c>
      <c r="G9" t="s">
        <v>460</v>
      </c>
      <c r="H9">
        <f t="shared" si="1"/>
        <v>0</v>
      </c>
    </row>
    <row r="10" spans="1:8" x14ac:dyDescent="0.35">
      <c r="A10">
        <v>2</v>
      </c>
      <c r="B10" t="str">
        <f t="shared" si="0"/>
        <v>TO-s2-PAR</v>
      </c>
      <c r="C10" t="s">
        <v>431</v>
      </c>
      <c r="D10" t="s">
        <v>461</v>
      </c>
      <c r="E10" t="s">
        <v>462</v>
      </c>
      <c r="F10" t="s">
        <v>442</v>
      </c>
      <c r="G10" t="s">
        <v>463</v>
      </c>
      <c r="H10">
        <f t="shared" si="1"/>
        <v>0</v>
      </c>
    </row>
    <row r="11" spans="1:8" x14ac:dyDescent="0.35">
      <c r="A11">
        <v>2</v>
      </c>
      <c r="B11" t="str">
        <f t="shared" si="0"/>
        <v>TO-s2-PAR</v>
      </c>
      <c r="C11" t="s">
        <v>432</v>
      </c>
      <c r="D11" t="s">
        <v>464</v>
      </c>
      <c r="E11" t="s">
        <v>465</v>
      </c>
      <c r="F11" t="s">
        <v>466</v>
      </c>
      <c r="G11" t="s">
        <v>467</v>
      </c>
      <c r="H11">
        <f t="shared" si="1"/>
        <v>0</v>
      </c>
    </row>
    <row r="12" spans="1:8" x14ac:dyDescent="0.35">
      <c r="A12">
        <v>2</v>
      </c>
      <c r="B12" t="str">
        <f t="shared" si="0"/>
        <v>TO-s2-PAR</v>
      </c>
      <c r="C12" t="s">
        <v>433</v>
      </c>
      <c r="D12" t="s">
        <v>468</v>
      </c>
      <c r="E12" t="s">
        <v>469</v>
      </c>
      <c r="F12" t="s">
        <v>470</v>
      </c>
      <c r="G12" t="s">
        <v>471</v>
      </c>
      <c r="H12">
        <f t="shared" si="1"/>
        <v>0</v>
      </c>
    </row>
    <row r="13" spans="1:8" x14ac:dyDescent="0.35">
      <c r="A13">
        <v>2</v>
      </c>
      <c r="B13" t="str">
        <f t="shared" si="0"/>
        <v>TO-s2-PAR</v>
      </c>
      <c r="C13" t="s">
        <v>434</v>
      </c>
      <c r="D13" t="s">
        <v>472</v>
      </c>
      <c r="E13" t="s">
        <v>473</v>
      </c>
      <c r="F13" t="s">
        <v>474</v>
      </c>
      <c r="G13" t="s">
        <v>475</v>
      </c>
      <c r="H13">
        <f t="shared" si="1"/>
        <v>0</v>
      </c>
    </row>
    <row r="14" spans="1:8" x14ac:dyDescent="0.35">
      <c r="A14">
        <v>3</v>
      </c>
      <c r="B14" t="str">
        <f t="shared" si="0"/>
        <v>TO-s3-PAR</v>
      </c>
      <c r="C14" t="s">
        <v>430</v>
      </c>
      <c r="D14" t="s">
        <v>476</v>
      </c>
      <c r="E14" t="s">
        <v>477</v>
      </c>
      <c r="F14" t="s">
        <v>466</v>
      </c>
      <c r="G14" t="s">
        <v>478</v>
      </c>
    </row>
    <row r="15" spans="1:8" x14ac:dyDescent="0.35">
      <c r="A15">
        <v>3</v>
      </c>
      <c r="B15" t="str">
        <f t="shared" si="0"/>
        <v>TO-s3-PAR</v>
      </c>
      <c r="C15" t="s">
        <v>424</v>
      </c>
      <c r="D15" t="s">
        <v>480</v>
      </c>
      <c r="E15" t="s">
        <v>479</v>
      </c>
      <c r="F15" t="s">
        <v>481</v>
      </c>
      <c r="G15" t="s">
        <v>482</v>
      </c>
    </row>
    <row r="16" spans="1:8" x14ac:dyDescent="0.35">
      <c r="A16">
        <v>3</v>
      </c>
      <c r="B16" t="str">
        <f t="shared" si="0"/>
        <v>TO-s3-PAR</v>
      </c>
      <c r="C16" t="s">
        <v>431</v>
      </c>
      <c r="D16" t="s">
        <v>483</v>
      </c>
      <c r="E16" t="s">
        <v>484</v>
      </c>
      <c r="F16" t="s">
        <v>291</v>
      </c>
      <c r="G16" t="s">
        <v>485</v>
      </c>
    </row>
    <row r="17" spans="1:7" x14ac:dyDescent="0.35">
      <c r="A17">
        <v>3</v>
      </c>
      <c r="B17" t="str">
        <f t="shared" si="0"/>
        <v>TO-s3-PAR</v>
      </c>
      <c r="C17" t="s">
        <v>432</v>
      </c>
      <c r="D17" t="s">
        <v>486</v>
      </c>
      <c r="E17" t="s">
        <v>487</v>
      </c>
      <c r="F17" t="s">
        <v>488</v>
      </c>
      <c r="G17" t="s">
        <v>489</v>
      </c>
    </row>
    <row r="18" spans="1:7" x14ac:dyDescent="0.35">
      <c r="A18">
        <v>3</v>
      </c>
      <c r="B18" t="str">
        <f t="shared" si="0"/>
        <v>TO-s3-PAR</v>
      </c>
      <c r="C18" t="s">
        <v>433</v>
      </c>
      <c r="D18" t="s">
        <v>490</v>
      </c>
      <c r="E18" t="s">
        <v>491</v>
      </c>
      <c r="F18" t="s">
        <v>481</v>
      </c>
      <c r="G18" t="s">
        <v>492</v>
      </c>
    </row>
    <row r="19" spans="1:7" x14ac:dyDescent="0.35">
      <c r="A19">
        <v>3</v>
      </c>
      <c r="B19" t="str">
        <f t="shared" si="0"/>
        <v>TO-s3-PAR</v>
      </c>
      <c r="C19" t="s">
        <v>434</v>
      </c>
      <c r="D19" t="s">
        <v>493</v>
      </c>
      <c r="E19" t="s">
        <v>494</v>
      </c>
      <c r="F19" t="s">
        <v>495</v>
      </c>
      <c r="G19" t="s">
        <v>496</v>
      </c>
    </row>
    <row r="20" spans="1:7" x14ac:dyDescent="0.35">
      <c r="A20">
        <v>4</v>
      </c>
      <c r="B20" t="str">
        <f t="shared" si="0"/>
        <v>TO-s4-PAR</v>
      </c>
      <c r="C20" t="s">
        <v>430</v>
      </c>
      <c r="D20" t="s">
        <v>497</v>
      </c>
      <c r="E20" t="s">
        <v>498</v>
      </c>
      <c r="F20" t="s">
        <v>446</v>
      </c>
      <c r="G20" t="s">
        <v>499</v>
      </c>
    </row>
    <row r="21" spans="1:7" x14ac:dyDescent="0.35">
      <c r="A21">
        <v>4</v>
      </c>
      <c r="B21" t="str">
        <f t="shared" si="0"/>
        <v>TO-s4-PAR</v>
      </c>
      <c r="C21" t="s">
        <v>424</v>
      </c>
      <c r="D21" t="s">
        <v>500</v>
      </c>
      <c r="E21" t="s">
        <v>501</v>
      </c>
      <c r="F21" t="s">
        <v>502</v>
      </c>
      <c r="G21" t="s">
        <v>503</v>
      </c>
    </row>
    <row r="22" spans="1:7" x14ac:dyDescent="0.35">
      <c r="A22">
        <v>4</v>
      </c>
      <c r="B22" t="str">
        <f t="shared" si="0"/>
        <v>TO-s4-PAR</v>
      </c>
      <c r="C22" t="s">
        <v>431</v>
      </c>
      <c r="D22" t="s">
        <v>504</v>
      </c>
      <c r="E22" t="s">
        <v>505</v>
      </c>
      <c r="F22" t="s">
        <v>438</v>
      </c>
      <c r="G22" t="s">
        <v>506</v>
      </c>
    </row>
    <row r="23" spans="1:7" x14ac:dyDescent="0.35">
      <c r="A23">
        <v>4</v>
      </c>
      <c r="B23" t="str">
        <f t="shared" si="0"/>
        <v>TO-s4-PAR</v>
      </c>
      <c r="C23" t="s">
        <v>432</v>
      </c>
      <c r="D23" t="s">
        <v>507</v>
      </c>
      <c r="E23" t="s">
        <v>508</v>
      </c>
      <c r="F23" t="s">
        <v>422</v>
      </c>
      <c r="G23" t="s">
        <v>509</v>
      </c>
    </row>
    <row r="24" spans="1:7" x14ac:dyDescent="0.35">
      <c r="A24">
        <v>4</v>
      </c>
      <c r="B24" t="str">
        <f t="shared" si="0"/>
        <v>TO-s4-PAR</v>
      </c>
      <c r="C24" t="s">
        <v>433</v>
      </c>
      <c r="D24" t="s">
        <v>510</v>
      </c>
      <c r="E24" t="s">
        <v>511</v>
      </c>
      <c r="F24" t="s">
        <v>512</v>
      </c>
      <c r="G24" t="s">
        <v>513</v>
      </c>
    </row>
    <row r="25" spans="1:7" x14ac:dyDescent="0.35">
      <c r="A25">
        <v>4</v>
      </c>
      <c r="B25" t="str">
        <f t="shared" si="0"/>
        <v>TO-s4-PAR</v>
      </c>
      <c r="C25" t="s">
        <v>434</v>
      </c>
      <c r="D25" t="s">
        <v>515</v>
      </c>
      <c r="E25" t="s">
        <v>514</v>
      </c>
      <c r="F25" t="s">
        <v>438</v>
      </c>
      <c r="G25" t="s">
        <v>516</v>
      </c>
    </row>
    <row r="26" spans="1:7" x14ac:dyDescent="0.35">
      <c r="A26">
        <v>5</v>
      </c>
      <c r="B26" t="str">
        <f t="shared" si="0"/>
        <v>TO-s5-PAR</v>
      </c>
      <c r="C26" t="s">
        <v>430</v>
      </c>
      <c r="D26" t="s">
        <v>517</v>
      </c>
      <c r="E26" t="s">
        <v>518</v>
      </c>
      <c r="F26" t="s">
        <v>442</v>
      </c>
      <c r="G26" t="s">
        <v>519</v>
      </c>
    </row>
    <row r="27" spans="1:7" x14ac:dyDescent="0.35">
      <c r="A27">
        <v>5</v>
      </c>
      <c r="B27" t="str">
        <f t="shared" si="0"/>
        <v>TO-s5-PAR</v>
      </c>
      <c r="C27" t="s">
        <v>424</v>
      </c>
      <c r="D27" t="s">
        <v>520</v>
      </c>
      <c r="E27" t="s">
        <v>521</v>
      </c>
      <c r="F27" t="s">
        <v>522</v>
      </c>
      <c r="G27" t="s">
        <v>523</v>
      </c>
    </row>
    <row r="28" spans="1:7" x14ac:dyDescent="0.35">
      <c r="A28">
        <v>5</v>
      </c>
      <c r="B28" t="str">
        <f t="shared" si="0"/>
        <v>TO-s5-PAR</v>
      </c>
      <c r="C28" t="s">
        <v>431</v>
      </c>
      <c r="D28" t="s">
        <v>524</v>
      </c>
      <c r="E28" t="s">
        <v>525</v>
      </c>
      <c r="F28" t="s">
        <v>526</v>
      </c>
      <c r="G28" t="s">
        <v>527</v>
      </c>
    </row>
    <row r="29" spans="1:7" x14ac:dyDescent="0.35">
      <c r="A29">
        <v>5</v>
      </c>
      <c r="B29" t="str">
        <f t="shared" si="0"/>
        <v>TO-s5-PAR</v>
      </c>
      <c r="C29" t="s">
        <v>432</v>
      </c>
      <c r="D29" t="s">
        <v>528</v>
      </c>
      <c r="E29" t="s">
        <v>529</v>
      </c>
      <c r="F29" t="s">
        <v>530</v>
      </c>
      <c r="G29" t="s">
        <v>531</v>
      </c>
    </row>
    <row r="30" spans="1:7" x14ac:dyDescent="0.35">
      <c r="A30">
        <v>5</v>
      </c>
      <c r="B30" t="str">
        <f t="shared" si="0"/>
        <v>TO-s5-PAR</v>
      </c>
      <c r="C30" t="s">
        <v>433</v>
      </c>
      <c r="D30" t="s">
        <v>532</v>
      </c>
      <c r="E30" t="s">
        <v>533</v>
      </c>
      <c r="F30" t="s">
        <v>474</v>
      </c>
      <c r="G30" t="s">
        <v>534</v>
      </c>
    </row>
    <row r="31" spans="1:7" x14ac:dyDescent="0.35">
      <c r="A31">
        <v>5</v>
      </c>
      <c r="B31" t="str">
        <f t="shared" si="0"/>
        <v>TO-s5-PAR</v>
      </c>
      <c r="C31" t="s">
        <v>434</v>
      </c>
      <c r="D31" t="s">
        <v>535</v>
      </c>
      <c r="E31" t="s">
        <v>536</v>
      </c>
      <c r="F31" t="s">
        <v>94</v>
      </c>
      <c r="G31" t="s">
        <v>538</v>
      </c>
    </row>
    <row r="32" spans="1:7" x14ac:dyDescent="0.35">
      <c r="A32">
        <v>6</v>
      </c>
      <c r="B32" t="str">
        <f t="shared" si="0"/>
        <v>TO-s6-PAR</v>
      </c>
      <c r="C32" t="s">
        <v>430</v>
      </c>
      <c r="D32" t="s">
        <v>539</v>
      </c>
      <c r="E32" t="s">
        <v>540</v>
      </c>
      <c r="F32" t="s">
        <v>169</v>
      </c>
      <c r="G32" t="s">
        <v>541</v>
      </c>
    </row>
    <row r="33" spans="1:7" x14ac:dyDescent="0.35">
      <c r="A33">
        <v>6</v>
      </c>
      <c r="B33" t="str">
        <f t="shared" si="0"/>
        <v>TO-s6-PAR</v>
      </c>
      <c r="C33" t="s">
        <v>424</v>
      </c>
      <c r="D33" t="s">
        <v>542</v>
      </c>
      <c r="E33" t="s">
        <v>543</v>
      </c>
      <c r="F33" t="s">
        <v>175</v>
      </c>
      <c r="G33" t="s">
        <v>544</v>
      </c>
    </row>
    <row r="34" spans="1:7" x14ac:dyDescent="0.35">
      <c r="A34">
        <v>6</v>
      </c>
      <c r="B34" t="str">
        <f t="shared" si="0"/>
        <v>TO-s6-PAR</v>
      </c>
      <c r="C34" t="s">
        <v>431</v>
      </c>
      <c r="D34" t="s">
        <v>545</v>
      </c>
      <c r="E34" t="s">
        <v>546</v>
      </c>
      <c r="F34" t="s">
        <v>459</v>
      </c>
      <c r="G34" t="s">
        <v>547</v>
      </c>
    </row>
    <row r="35" spans="1:7" x14ac:dyDescent="0.35">
      <c r="A35">
        <v>6</v>
      </c>
      <c r="B35" t="str">
        <f t="shared" si="0"/>
        <v>TO-s6-PAR</v>
      </c>
      <c r="C35" t="s">
        <v>432</v>
      </c>
      <c r="D35" t="s">
        <v>548</v>
      </c>
      <c r="E35" t="s">
        <v>549</v>
      </c>
      <c r="F35" t="s">
        <v>550</v>
      </c>
      <c r="G35" t="s">
        <v>551</v>
      </c>
    </row>
    <row r="36" spans="1:7" x14ac:dyDescent="0.35">
      <c r="A36">
        <v>6</v>
      </c>
      <c r="B36" t="str">
        <f t="shared" si="0"/>
        <v>TO-s6-PAR</v>
      </c>
      <c r="C36" t="s">
        <v>433</v>
      </c>
      <c r="D36" t="s">
        <v>552</v>
      </c>
      <c r="E36" t="s">
        <v>553</v>
      </c>
      <c r="F36" t="s">
        <v>554</v>
      </c>
      <c r="G36" t="s">
        <v>555</v>
      </c>
    </row>
    <row r="37" spans="1:7" x14ac:dyDescent="0.35">
      <c r="A37">
        <v>6</v>
      </c>
      <c r="B37" t="str">
        <f t="shared" si="0"/>
        <v>TO-s6-PAR</v>
      </c>
      <c r="C37" t="s">
        <v>434</v>
      </c>
      <c r="D37" t="s">
        <v>556</v>
      </c>
      <c r="E37" t="s">
        <v>557</v>
      </c>
      <c r="F37" t="s">
        <v>87</v>
      </c>
      <c r="G37" t="s">
        <v>558</v>
      </c>
    </row>
    <row r="38" spans="1:7" x14ac:dyDescent="0.35">
      <c r="A38">
        <v>7</v>
      </c>
      <c r="B38" t="str">
        <f t="shared" si="0"/>
        <v>TO-s7-PAR</v>
      </c>
      <c r="C38" t="s">
        <v>430</v>
      </c>
      <c r="D38" t="s">
        <v>559</v>
      </c>
      <c r="E38" t="s">
        <v>560</v>
      </c>
      <c r="F38" t="s">
        <v>466</v>
      </c>
      <c r="G38" t="s">
        <v>561</v>
      </c>
    </row>
    <row r="39" spans="1:7" x14ac:dyDescent="0.35">
      <c r="A39">
        <v>7</v>
      </c>
      <c r="B39" t="str">
        <f t="shared" si="0"/>
        <v>TO-s7-PAR</v>
      </c>
      <c r="C39" t="s">
        <v>424</v>
      </c>
      <c r="D39" t="s">
        <v>562</v>
      </c>
      <c r="E39" t="s">
        <v>563</v>
      </c>
      <c r="F39" t="s">
        <v>564</v>
      </c>
      <c r="G39" t="s">
        <v>565</v>
      </c>
    </row>
    <row r="40" spans="1:7" x14ac:dyDescent="0.35">
      <c r="A40">
        <v>7</v>
      </c>
      <c r="B40" t="str">
        <f t="shared" si="0"/>
        <v>TO-s7-PAR</v>
      </c>
      <c r="C40" t="s">
        <v>431</v>
      </c>
      <c r="D40" t="s">
        <v>566</v>
      </c>
      <c r="E40" t="s">
        <v>567</v>
      </c>
      <c r="F40" t="s">
        <v>169</v>
      </c>
      <c r="G40" t="s">
        <v>568</v>
      </c>
    </row>
    <row r="41" spans="1:7" x14ac:dyDescent="0.35">
      <c r="A41">
        <v>7</v>
      </c>
      <c r="B41" t="str">
        <f t="shared" si="0"/>
        <v>TO-s7-PAR</v>
      </c>
      <c r="C41" t="s">
        <v>432</v>
      </c>
      <c r="D41" t="s">
        <v>569</v>
      </c>
      <c r="E41" t="s">
        <v>570</v>
      </c>
      <c r="F41" t="s">
        <v>427</v>
      </c>
      <c r="G41" t="s">
        <v>571</v>
      </c>
    </row>
    <row r="42" spans="1:7" x14ac:dyDescent="0.35">
      <c r="A42">
        <v>7</v>
      </c>
      <c r="B42" t="str">
        <f t="shared" si="0"/>
        <v>TO-s7-PAR</v>
      </c>
      <c r="C42" t="s">
        <v>433</v>
      </c>
      <c r="D42" t="s">
        <v>572</v>
      </c>
      <c r="E42" t="s">
        <v>573</v>
      </c>
      <c r="F42" t="s">
        <v>526</v>
      </c>
      <c r="G42" t="s">
        <v>574</v>
      </c>
    </row>
    <row r="43" spans="1:7" x14ac:dyDescent="0.35">
      <c r="A43">
        <v>7</v>
      </c>
      <c r="B43" t="str">
        <f t="shared" si="0"/>
        <v>TO-s7-PAR</v>
      </c>
      <c r="C43" t="s">
        <v>434</v>
      </c>
      <c r="D43" t="s">
        <v>575</v>
      </c>
      <c r="E43" t="s">
        <v>576</v>
      </c>
      <c r="F43" t="s">
        <v>481</v>
      </c>
      <c r="G43" t="s">
        <v>577</v>
      </c>
    </row>
    <row r="44" spans="1:7" x14ac:dyDescent="0.35">
      <c r="A44">
        <v>8</v>
      </c>
      <c r="B44" t="str">
        <f t="shared" si="0"/>
        <v>TO-s8-PAR</v>
      </c>
      <c r="C44" t="s">
        <v>430</v>
      </c>
      <c r="D44" t="s">
        <v>578</v>
      </c>
      <c r="E44" t="s">
        <v>579</v>
      </c>
      <c r="F44" t="s">
        <v>580</v>
      </c>
      <c r="G44" t="s">
        <v>581</v>
      </c>
    </row>
    <row r="45" spans="1:7" x14ac:dyDescent="0.35">
      <c r="A45">
        <v>8</v>
      </c>
      <c r="B45" t="str">
        <f t="shared" si="0"/>
        <v>TO-s8-PAR</v>
      </c>
      <c r="C45" t="s">
        <v>424</v>
      </c>
      <c r="D45" t="s">
        <v>582</v>
      </c>
      <c r="E45" t="s">
        <v>583</v>
      </c>
      <c r="F45" t="s">
        <v>481</v>
      </c>
      <c r="G45" t="s">
        <v>584</v>
      </c>
    </row>
    <row r="46" spans="1:7" x14ac:dyDescent="0.35">
      <c r="A46">
        <v>8</v>
      </c>
      <c r="B46" t="str">
        <f t="shared" si="0"/>
        <v>TO-s8-PAR</v>
      </c>
      <c r="C46" t="s">
        <v>431</v>
      </c>
      <c r="D46" t="s">
        <v>585</v>
      </c>
      <c r="E46" t="s">
        <v>74</v>
      </c>
      <c r="F46" t="s">
        <v>586</v>
      </c>
      <c r="G46" t="s">
        <v>587</v>
      </c>
    </row>
    <row r="47" spans="1:7" x14ac:dyDescent="0.35">
      <c r="A47">
        <v>8</v>
      </c>
      <c r="B47" t="str">
        <f t="shared" si="0"/>
        <v>TO-s8-PAR</v>
      </c>
      <c r="C47" t="s">
        <v>432</v>
      </c>
      <c r="D47" t="s">
        <v>588</v>
      </c>
      <c r="E47" t="s">
        <v>589</v>
      </c>
      <c r="F47" t="s">
        <v>590</v>
      </c>
      <c r="G47" t="s">
        <v>591</v>
      </c>
    </row>
    <row r="48" spans="1:7" x14ac:dyDescent="0.35">
      <c r="A48">
        <v>8</v>
      </c>
      <c r="B48" t="str">
        <f t="shared" si="0"/>
        <v>TO-s8-PAR</v>
      </c>
      <c r="C48" t="s">
        <v>433</v>
      </c>
      <c r="D48" t="s">
        <v>592</v>
      </c>
      <c r="E48" t="s">
        <v>593</v>
      </c>
      <c r="F48" t="s">
        <v>594</v>
      </c>
      <c r="G48" t="s">
        <v>595</v>
      </c>
    </row>
    <row r="49" spans="1:7" x14ac:dyDescent="0.35">
      <c r="A49">
        <v>8</v>
      </c>
      <c r="B49" t="str">
        <f t="shared" si="0"/>
        <v>TO-s8-PAR</v>
      </c>
      <c r="C49" t="s">
        <v>434</v>
      </c>
      <c r="D49" t="s">
        <v>596</v>
      </c>
      <c r="E49" t="s">
        <v>597</v>
      </c>
      <c r="F49" t="s">
        <v>598</v>
      </c>
      <c r="G49" t="s">
        <v>599</v>
      </c>
    </row>
    <row r="50" spans="1:7" x14ac:dyDescent="0.35">
      <c r="A50">
        <v>9</v>
      </c>
      <c r="B50" t="str">
        <f t="shared" si="0"/>
        <v>TO-s9-PAR</v>
      </c>
      <c r="C50" t="s">
        <v>430</v>
      </c>
      <c r="D50" t="s">
        <v>600</v>
      </c>
      <c r="E50" t="s">
        <v>601</v>
      </c>
      <c r="F50" t="s">
        <v>602</v>
      </c>
      <c r="G50" t="s">
        <v>603</v>
      </c>
    </row>
    <row r="51" spans="1:7" x14ac:dyDescent="0.35">
      <c r="A51">
        <v>9</v>
      </c>
      <c r="B51" t="str">
        <f t="shared" si="0"/>
        <v>TO-s9-PAR</v>
      </c>
      <c r="C51" t="s">
        <v>424</v>
      </c>
      <c r="D51" t="s">
        <v>604</v>
      </c>
      <c r="E51" t="s">
        <v>605</v>
      </c>
      <c r="F51" t="s">
        <v>459</v>
      </c>
      <c r="G51" t="s">
        <v>606</v>
      </c>
    </row>
    <row r="52" spans="1:7" x14ac:dyDescent="0.35">
      <c r="A52">
        <v>9</v>
      </c>
      <c r="B52" t="str">
        <f t="shared" si="0"/>
        <v>TO-s9-PAR</v>
      </c>
      <c r="C52" t="s">
        <v>431</v>
      </c>
      <c r="D52" t="s">
        <v>607</v>
      </c>
      <c r="E52" t="s">
        <v>608</v>
      </c>
      <c r="F52" t="s">
        <v>120</v>
      </c>
      <c r="G52" t="s">
        <v>609</v>
      </c>
    </row>
    <row r="53" spans="1:7" x14ac:dyDescent="0.35">
      <c r="A53">
        <v>9</v>
      </c>
      <c r="B53" t="str">
        <f t="shared" si="0"/>
        <v>TO-s9-PAR</v>
      </c>
      <c r="C53" t="s">
        <v>432</v>
      </c>
      <c r="D53" t="s">
        <v>610</v>
      </c>
      <c r="E53" t="s">
        <v>611</v>
      </c>
      <c r="F53" t="s">
        <v>466</v>
      </c>
      <c r="G53" t="s">
        <v>612</v>
      </c>
    </row>
    <row r="54" spans="1:7" x14ac:dyDescent="0.35">
      <c r="A54">
        <v>9</v>
      </c>
      <c r="B54" t="str">
        <f t="shared" si="0"/>
        <v>TO-s9-PAR</v>
      </c>
      <c r="C54" t="s">
        <v>433</v>
      </c>
      <c r="D54" t="s">
        <v>613</v>
      </c>
      <c r="E54" t="s">
        <v>614</v>
      </c>
      <c r="F54" t="s">
        <v>175</v>
      </c>
      <c r="G54" t="s">
        <v>615</v>
      </c>
    </row>
    <row r="55" spans="1:7" x14ac:dyDescent="0.35">
      <c r="A55">
        <v>9</v>
      </c>
      <c r="B55" t="str">
        <f t="shared" si="0"/>
        <v>TO-s9-PAR</v>
      </c>
      <c r="C55" t="s">
        <v>434</v>
      </c>
      <c r="D55" t="s">
        <v>616</v>
      </c>
      <c r="E55" t="s">
        <v>617</v>
      </c>
      <c r="F55" t="s">
        <v>618</v>
      </c>
      <c r="G55" t="s">
        <v>619</v>
      </c>
    </row>
    <row r="56" spans="1:7" x14ac:dyDescent="0.35">
      <c r="A56">
        <v>10</v>
      </c>
      <c r="B56" t="str">
        <f t="shared" si="0"/>
        <v>TO-s10-PAR</v>
      </c>
      <c r="C56" t="s">
        <v>430</v>
      </c>
      <c r="D56" t="s">
        <v>620</v>
      </c>
      <c r="E56" t="s">
        <v>621</v>
      </c>
      <c r="F56" t="s">
        <v>622</v>
      </c>
      <c r="G56" t="s">
        <v>623</v>
      </c>
    </row>
    <row r="57" spans="1:7" x14ac:dyDescent="0.35">
      <c r="A57">
        <v>10</v>
      </c>
      <c r="B57" t="str">
        <f t="shared" ref="B51:B114" si="2">_xlfn.CONCAT("TO-s",A57,"-PAR")</f>
        <v>TO-s10-PAR</v>
      </c>
      <c r="C57" t="s">
        <v>424</v>
      </c>
      <c r="D57" t="s">
        <v>624</v>
      </c>
      <c r="E57" t="s">
        <v>625</v>
      </c>
      <c r="F57" t="s">
        <v>626</v>
      </c>
      <c r="G57" t="s">
        <v>385</v>
      </c>
    </row>
    <row r="58" spans="1:7" x14ac:dyDescent="0.35">
      <c r="A58">
        <v>10</v>
      </c>
      <c r="B58" t="str">
        <f t="shared" si="2"/>
        <v>TO-s10-PAR</v>
      </c>
      <c r="C58" t="s">
        <v>431</v>
      </c>
      <c r="D58" t="s">
        <v>627</v>
      </c>
      <c r="E58" t="s">
        <v>628</v>
      </c>
      <c r="F58" t="s">
        <v>629</v>
      </c>
      <c r="G58" t="s">
        <v>630</v>
      </c>
    </row>
    <row r="59" spans="1:7" x14ac:dyDescent="0.35">
      <c r="A59">
        <v>10</v>
      </c>
      <c r="B59" t="str">
        <f t="shared" si="2"/>
        <v>TO-s10-PAR</v>
      </c>
      <c r="C59" t="s">
        <v>432</v>
      </c>
      <c r="D59" t="s">
        <v>631</v>
      </c>
      <c r="E59" t="s">
        <v>632</v>
      </c>
      <c r="F59" t="s">
        <v>133</v>
      </c>
      <c r="G59" t="s">
        <v>633</v>
      </c>
    </row>
    <row r="60" spans="1:7" x14ac:dyDescent="0.35">
      <c r="A60">
        <v>10</v>
      </c>
      <c r="B60" t="str">
        <f t="shared" si="2"/>
        <v>TO-s10-PAR</v>
      </c>
      <c r="C60" t="s">
        <v>433</v>
      </c>
      <c r="D60" t="s">
        <v>634</v>
      </c>
      <c r="E60" t="s">
        <v>635</v>
      </c>
      <c r="F60" t="s">
        <v>636</v>
      </c>
      <c r="G60" t="s">
        <v>637</v>
      </c>
    </row>
    <row r="61" spans="1:7" x14ac:dyDescent="0.35">
      <c r="A61">
        <v>10</v>
      </c>
      <c r="B61" t="str">
        <f t="shared" si="2"/>
        <v>TO-s10-PAR</v>
      </c>
      <c r="C61" t="s">
        <v>434</v>
      </c>
      <c r="D61" t="s">
        <v>638</v>
      </c>
      <c r="E61" t="s">
        <v>639</v>
      </c>
      <c r="F61" t="s">
        <v>640</v>
      </c>
      <c r="G61" t="s">
        <v>641</v>
      </c>
    </row>
    <row r="62" spans="1:7" x14ac:dyDescent="0.35">
      <c r="A62">
        <v>11</v>
      </c>
      <c r="B62" t="str">
        <f>_xlfn.CONCAT("TO-s",A62,"-PAR")</f>
        <v>TO-s11-PAR</v>
      </c>
      <c r="C62" t="s">
        <v>430</v>
      </c>
      <c r="D62" t="s">
        <v>642</v>
      </c>
      <c r="E62" t="s">
        <v>643</v>
      </c>
      <c r="F62" t="s">
        <v>488</v>
      </c>
      <c r="G62" t="s">
        <v>644</v>
      </c>
    </row>
    <row r="63" spans="1:7" x14ac:dyDescent="0.35">
      <c r="A63">
        <v>11</v>
      </c>
      <c r="B63" t="str">
        <f t="shared" si="2"/>
        <v>TO-s11-PAR</v>
      </c>
      <c r="C63" t="s">
        <v>424</v>
      </c>
      <c r="D63" t="s">
        <v>645</v>
      </c>
      <c r="E63" t="s">
        <v>646</v>
      </c>
      <c r="F63" t="s">
        <v>133</v>
      </c>
      <c r="G63" t="s">
        <v>647</v>
      </c>
    </row>
    <row r="64" spans="1:7" x14ac:dyDescent="0.35">
      <c r="A64">
        <v>11</v>
      </c>
      <c r="B64" t="str">
        <f t="shared" si="2"/>
        <v>TO-s11-PAR</v>
      </c>
      <c r="C64" t="s">
        <v>431</v>
      </c>
      <c r="D64" t="s">
        <v>648</v>
      </c>
      <c r="E64" t="s">
        <v>649</v>
      </c>
      <c r="F64" t="s">
        <v>175</v>
      </c>
      <c r="G64" t="s">
        <v>650</v>
      </c>
    </row>
    <row r="65" spans="1:7" x14ac:dyDescent="0.35">
      <c r="A65">
        <v>11</v>
      </c>
      <c r="B65" t="str">
        <f t="shared" si="2"/>
        <v>TO-s11-PAR</v>
      </c>
      <c r="C65" t="s">
        <v>432</v>
      </c>
      <c r="D65" t="s">
        <v>651</v>
      </c>
      <c r="E65" t="s">
        <v>652</v>
      </c>
      <c r="F65" t="s">
        <v>653</v>
      </c>
      <c r="G65" t="s">
        <v>654</v>
      </c>
    </row>
    <row r="66" spans="1:7" x14ac:dyDescent="0.35">
      <c r="A66">
        <v>11</v>
      </c>
      <c r="B66" t="str">
        <f t="shared" si="2"/>
        <v>TO-s11-PAR</v>
      </c>
      <c r="C66" t="s">
        <v>433</v>
      </c>
      <c r="D66" t="s">
        <v>655</v>
      </c>
      <c r="E66" t="s">
        <v>656</v>
      </c>
      <c r="F66" t="s">
        <v>618</v>
      </c>
      <c r="G66" t="s">
        <v>657</v>
      </c>
    </row>
    <row r="67" spans="1:7" x14ac:dyDescent="0.35">
      <c r="A67">
        <v>11</v>
      </c>
      <c r="B67" t="str">
        <f t="shared" si="2"/>
        <v>TO-s11-PAR</v>
      </c>
      <c r="C67" t="s">
        <v>434</v>
      </c>
      <c r="D67" t="s">
        <v>658</v>
      </c>
      <c r="E67" t="s">
        <v>659</v>
      </c>
      <c r="F67" t="s">
        <v>580</v>
      </c>
      <c r="G67" t="s">
        <v>389</v>
      </c>
    </row>
    <row r="68" spans="1:7" x14ac:dyDescent="0.35">
      <c r="A68">
        <v>12</v>
      </c>
      <c r="B68" t="str">
        <f>_xlfn.CONCAT("TO-s",A68,"-PAR")</f>
        <v>TO-s12-PAR</v>
      </c>
      <c r="C68" t="s">
        <v>430</v>
      </c>
      <c r="D68" t="s">
        <v>660</v>
      </c>
      <c r="E68" t="s">
        <v>661</v>
      </c>
      <c r="F68" t="s">
        <v>455</v>
      </c>
      <c r="G68" t="s">
        <v>662</v>
      </c>
    </row>
    <row r="69" spans="1:7" x14ac:dyDescent="0.35">
      <c r="A69">
        <v>12</v>
      </c>
      <c r="B69" t="str">
        <f t="shared" si="2"/>
        <v>TO-s12-PAR</v>
      </c>
      <c r="C69" t="s">
        <v>424</v>
      </c>
      <c r="D69" t="s">
        <v>663</v>
      </c>
      <c r="E69" t="s">
        <v>664</v>
      </c>
      <c r="F69" t="s">
        <v>590</v>
      </c>
      <c r="G69" t="s">
        <v>665</v>
      </c>
    </row>
    <row r="70" spans="1:7" x14ac:dyDescent="0.35">
      <c r="A70">
        <v>12</v>
      </c>
      <c r="B70" t="str">
        <f t="shared" si="2"/>
        <v>TO-s12-PAR</v>
      </c>
      <c r="C70" t="s">
        <v>431</v>
      </c>
      <c r="D70" t="s">
        <v>666</v>
      </c>
      <c r="E70" t="s">
        <v>667</v>
      </c>
      <c r="F70" t="s">
        <v>668</v>
      </c>
      <c r="G70" t="s">
        <v>669</v>
      </c>
    </row>
    <row r="71" spans="1:7" x14ac:dyDescent="0.35">
      <c r="A71">
        <v>12</v>
      </c>
      <c r="B71" t="str">
        <f t="shared" si="2"/>
        <v>TO-s12-PAR</v>
      </c>
      <c r="C71" t="s">
        <v>432</v>
      </c>
      <c r="D71" t="s">
        <v>670</v>
      </c>
      <c r="E71" t="s">
        <v>671</v>
      </c>
      <c r="F71" t="s">
        <v>175</v>
      </c>
      <c r="G71" t="s">
        <v>672</v>
      </c>
    </row>
    <row r="72" spans="1:7" x14ac:dyDescent="0.35">
      <c r="A72">
        <v>12</v>
      </c>
      <c r="B72" t="str">
        <f t="shared" si="2"/>
        <v>TO-s12-PAR</v>
      </c>
      <c r="C72" t="s">
        <v>433</v>
      </c>
      <c r="D72" t="s">
        <v>673</v>
      </c>
      <c r="E72" t="s">
        <v>674</v>
      </c>
      <c r="F72" t="s">
        <v>502</v>
      </c>
      <c r="G72" t="s">
        <v>675</v>
      </c>
    </row>
    <row r="73" spans="1:7" x14ac:dyDescent="0.35">
      <c r="A73">
        <v>12</v>
      </c>
      <c r="B73" t="str">
        <f t="shared" si="2"/>
        <v>TO-s12-PAR</v>
      </c>
      <c r="C73" t="s">
        <v>434</v>
      </c>
      <c r="D73" t="s">
        <v>676</v>
      </c>
      <c r="E73" t="s">
        <v>677</v>
      </c>
      <c r="F73" t="s">
        <v>502</v>
      </c>
      <c r="G73" t="s">
        <v>678</v>
      </c>
    </row>
    <row r="74" spans="1:7" x14ac:dyDescent="0.35">
      <c r="A74">
        <v>13</v>
      </c>
      <c r="B74" t="str">
        <f>_xlfn.CONCAT("TO-s",A74,"-PAR")</f>
        <v>TO-s13-PAR</v>
      </c>
      <c r="C74" t="s">
        <v>430</v>
      </c>
      <c r="D74" t="s">
        <v>679</v>
      </c>
      <c r="E74" t="s">
        <v>680</v>
      </c>
      <c r="F74" t="s">
        <v>681</v>
      </c>
      <c r="G74" t="s">
        <v>682</v>
      </c>
    </row>
    <row r="75" spans="1:7" x14ac:dyDescent="0.35">
      <c r="A75">
        <v>13</v>
      </c>
      <c r="B75" t="str">
        <f t="shared" si="2"/>
        <v>TO-s13-PAR</v>
      </c>
      <c r="C75" t="s">
        <v>424</v>
      </c>
      <c r="D75" t="s">
        <v>683</v>
      </c>
      <c r="E75" t="s">
        <v>684</v>
      </c>
      <c r="F75" t="s">
        <v>685</v>
      </c>
      <c r="G75" t="s">
        <v>686</v>
      </c>
    </row>
    <row r="76" spans="1:7" x14ac:dyDescent="0.35">
      <c r="A76">
        <v>13</v>
      </c>
      <c r="B76" t="str">
        <f t="shared" si="2"/>
        <v>TO-s13-PAR</v>
      </c>
      <c r="C76" t="s">
        <v>431</v>
      </c>
      <c r="D76" t="s">
        <v>687</v>
      </c>
      <c r="E76" t="s">
        <v>688</v>
      </c>
      <c r="F76" t="s">
        <v>689</v>
      </c>
      <c r="G76" t="s">
        <v>690</v>
      </c>
    </row>
    <row r="77" spans="1:7" x14ac:dyDescent="0.35">
      <c r="A77">
        <v>13</v>
      </c>
      <c r="B77" t="str">
        <f t="shared" si="2"/>
        <v>TO-s13-PAR</v>
      </c>
      <c r="C77" t="s">
        <v>432</v>
      </c>
      <c r="D77" t="s">
        <v>691</v>
      </c>
      <c r="E77" t="s">
        <v>692</v>
      </c>
      <c r="F77" t="s">
        <v>470</v>
      </c>
      <c r="G77" t="s">
        <v>693</v>
      </c>
    </row>
    <row r="78" spans="1:7" x14ac:dyDescent="0.35">
      <c r="A78">
        <v>13</v>
      </c>
      <c r="B78" t="str">
        <f t="shared" si="2"/>
        <v>TO-s13-PAR</v>
      </c>
      <c r="C78" t="s">
        <v>433</v>
      </c>
      <c r="D78" t="s">
        <v>694</v>
      </c>
      <c r="E78" t="s">
        <v>695</v>
      </c>
      <c r="F78" t="s">
        <v>696</v>
      </c>
      <c r="G78" t="s">
        <v>391</v>
      </c>
    </row>
    <row r="79" spans="1:7" x14ac:dyDescent="0.35">
      <c r="A79">
        <v>13</v>
      </c>
      <c r="B79" t="str">
        <f t="shared" si="2"/>
        <v>TO-s13-PAR</v>
      </c>
      <c r="C79" t="s">
        <v>434</v>
      </c>
      <c r="D79" t="s">
        <v>697</v>
      </c>
      <c r="E79" t="s">
        <v>698</v>
      </c>
      <c r="F79" t="s">
        <v>438</v>
      </c>
      <c r="G79" t="s">
        <v>699</v>
      </c>
    </row>
    <row r="80" spans="1:7" x14ac:dyDescent="0.35">
      <c r="A80">
        <v>14</v>
      </c>
      <c r="B80" t="str">
        <f>_xlfn.CONCAT("TO-s",A80,"-PAR")</f>
        <v>TO-s14-PAR</v>
      </c>
      <c r="C80" t="s">
        <v>430</v>
      </c>
      <c r="D80" t="s">
        <v>700</v>
      </c>
      <c r="E80" t="s">
        <v>701</v>
      </c>
      <c r="F80" t="s">
        <v>466</v>
      </c>
      <c r="G80" t="s">
        <v>702</v>
      </c>
    </row>
    <row r="81" spans="1:7" x14ac:dyDescent="0.35">
      <c r="A81">
        <v>14</v>
      </c>
      <c r="B81" t="str">
        <f t="shared" si="2"/>
        <v>TO-s14-PAR</v>
      </c>
      <c r="C81" t="s">
        <v>424</v>
      </c>
      <c r="D81" t="s">
        <v>703</v>
      </c>
      <c r="E81" t="s">
        <v>704</v>
      </c>
      <c r="F81" t="s">
        <v>163</v>
      </c>
      <c r="G81" t="s">
        <v>705</v>
      </c>
    </row>
    <row r="82" spans="1:7" x14ac:dyDescent="0.35">
      <c r="A82">
        <v>14</v>
      </c>
      <c r="B82" t="str">
        <f t="shared" si="2"/>
        <v>TO-s14-PAR</v>
      </c>
      <c r="C82" t="s">
        <v>431</v>
      </c>
      <c r="D82" t="s">
        <v>706</v>
      </c>
      <c r="E82" t="s">
        <v>707</v>
      </c>
      <c r="F82" t="s">
        <v>422</v>
      </c>
      <c r="G82" t="s">
        <v>708</v>
      </c>
    </row>
    <row r="83" spans="1:7" x14ac:dyDescent="0.35">
      <c r="A83">
        <v>14</v>
      </c>
      <c r="B83" t="str">
        <f t="shared" si="2"/>
        <v>TO-s14-PAR</v>
      </c>
      <c r="C83" t="s">
        <v>432</v>
      </c>
      <c r="D83" t="s">
        <v>709</v>
      </c>
      <c r="E83" t="s">
        <v>710</v>
      </c>
      <c r="F83" t="s">
        <v>422</v>
      </c>
      <c r="G83" t="s">
        <v>711</v>
      </c>
    </row>
    <row r="84" spans="1:7" x14ac:dyDescent="0.35">
      <c r="A84">
        <v>14</v>
      </c>
      <c r="B84" t="str">
        <f t="shared" si="2"/>
        <v>TO-s14-PAR</v>
      </c>
      <c r="C84" t="s">
        <v>433</v>
      </c>
      <c r="D84" t="s">
        <v>712</v>
      </c>
      <c r="E84" t="s">
        <v>713</v>
      </c>
      <c r="F84" t="s">
        <v>714</v>
      </c>
      <c r="G84" t="s">
        <v>715</v>
      </c>
    </row>
    <row r="85" spans="1:7" x14ac:dyDescent="0.35">
      <c r="A85">
        <v>14</v>
      </c>
      <c r="B85" t="str">
        <f t="shared" si="2"/>
        <v>TO-s14-PAR</v>
      </c>
      <c r="C85" t="s">
        <v>434</v>
      </c>
      <c r="D85" t="s">
        <v>716</v>
      </c>
      <c r="E85" t="s">
        <v>717</v>
      </c>
      <c r="F85" t="s">
        <v>718</v>
      </c>
      <c r="G85" t="s">
        <v>719</v>
      </c>
    </row>
    <row r="86" spans="1:7" x14ac:dyDescent="0.35">
      <c r="A86">
        <v>15</v>
      </c>
      <c r="B86" t="str">
        <f>_xlfn.CONCAT("TO-s",A86,"-PAR")</f>
        <v>TO-s15-PAR</v>
      </c>
      <c r="C86" t="s">
        <v>430</v>
      </c>
      <c r="D86" t="s">
        <v>720</v>
      </c>
      <c r="E86" t="s">
        <v>454</v>
      </c>
      <c r="F86" t="s">
        <v>721</v>
      </c>
      <c r="G86" t="s">
        <v>722</v>
      </c>
    </row>
    <row r="87" spans="1:7" x14ac:dyDescent="0.35">
      <c r="A87">
        <v>15</v>
      </c>
      <c r="B87" t="str">
        <f t="shared" si="2"/>
        <v>TO-s15-PAR</v>
      </c>
      <c r="C87" t="s">
        <v>424</v>
      </c>
      <c r="D87" t="s">
        <v>723</v>
      </c>
      <c r="E87" t="s">
        <v>724</v>
      </c>
      <c r="F87" t="s">
        <v>681</v>
      </c>
      <c r="G87" t="s">
        <v>725</v>
      </c>
    </row>
    <row r="88" spans="1:7" x14ac:dyDescent="0.35">
      <c r="A88">
        <v>15</v>
      </c>
      <c r="B88" t="str">
        <f t="shared" si="2"/>
        <v>TO-s15-PAR</v>
      </c>
      <c r="C88" t="s">
        <v>431</v>
      </c>
      <c r="D88" t="s">
        <v>726</v>
      </c>
      <c r="E88" t="s">
        <v>727</v>
      </c>
      <c r="F88" t="s">
        <v>481</v>
      </c>
      <c r="G88" t="s">
        <v>728</v>
      </c>
    </row>
    <row r="89" spans="1:7" x14ac:dyDescent="0.35">
      <c r="A89">
        <v>15</v>
      </c>
      <c r="B89" t="str">
        <f t="shared" si="2"/>
        <v>TO-s15-PAR</v>
      </c>
      <c r="C89" t="s">
        <v>432</v>
      </c>
      <c r="D89" t="s">
        <v>729</v>
      </c>
      <c r="E89" t="s">
        <v>730</v>
      </c>
      <c r="F89" t="s">
        <v>696</v>
      </c>
      <c r="G89" t="s">
        <v>731</v>
      </c>
    </row>
    <row r="90" spans="1:7" x14ac:dyDescent="0.35">
      <c r="A90">
        <v>15</v>
      </c>
      <c r="B90" t="str">
        <f t="shared" si="2"/>
        <v>TO-s15-PAR</v>
      </c>
      <c r="C90" t="s">
        <v>433</v>
      </c>
      <c r="D90" t="s">
        <v>732</v>
      </c>
      <c r="E90" t="s">
        <v>733</v>
      </c>
      <c r="F90" t="s">
        <v>438</v>
      </c>
      <c r="G90" t="s">
        <v>734</v>
      </c>
    </row>
    <row r="91" spans="1:7" x14ac:dyDescent="0.35">
      <c r="A91">
        <v>15</v>
      </c>
      <c r="B91" t="str">
        <f t="shared" si="2"/>
        <v>TO-s15-PAR</v>
      </c>
      <c r="C91" t="s">
        <v>434</v>
      </c>
      <c r="D91" t="s">
        <v>735</v>
      </c>
      <c r="E91" t="s">
        <v>736</v>
      </c>
      <c r="F91" t="s">
        <v>470</v>
      </c>
      <c r="G91" t="s">
        <v>737</v>
      </c>
    </row>
    <row r="92" spans="1:7" x14ac:dyDescent="0.35">
      <c r="A92">
        <v>16</v>
      </c>
      <c r="B92" t="str">
        <f>_xlfn.CONCAT("TO-s",A92,"-PAR")</f>
        <v>TO-s16-PAR</v>
      </c>
      <c r="C92" t="s">
        <v>430</v>
      </c>
      <c r="D92" t="s">
        <v>738</v>
      </c>
      <c r="E92" t="s">
        <v>739</v>
      </c>
      <c r="F92" t="s">
        <v>681</v>
      </c>
      <c r="G92" t="s">
        <v>740</v>
      </c>
    </row>
    <row r="93" spans="1:7" x14ac:dyDescent="0.35">
      <c r="A93">
        <v>16</v>
      </c>
      <c r="B93" t="str">
        <f t="shared" si="2"/>
        <v>TO-s16-PAR</v>
      </c>
      <c r="C93" t="s">
        <v>424</v>
      </c>
      <c r="D93" t="s">
        <v>741</v>
      </c>
      <c r="E93" t="s">
        <v>742</v>
      </c>
      <c r="F93" t="s">
        <v>175</v>
      </c>
      <c r="G93" t="s">
        <v>743</v>
      </c>
    </row>
    <row r="94" spans="1:7" x14ac:dyDescent="0.35">
      <c r="A94">
        <v>16</v>
      </c>
      <c r="B94" t="str">
        <f t="shared" si="2"/>
        <v>TO-s16-PAR</v>
      </c>
      <c r="C94" t="s">
        <v>431</v>
      </c>
      <c r="D94" t="s">
        <v>744</v>
      </c>
      <c r="E94" t="s">
        <v>745</v>
      </c>
      <c r="F94" t="s">
        <v>291</v>
      </c>
      <c r="G94" t="s">
        <v>396</v>
      </c>
    </row>
    <row r="95" spans="1:7" x14ac:dyDescent="0.35">
      <c r="A95">
        <v>16</v>
      </c>
      <c r="B95" t="str">
        <f t="shared" si="2"/>
        <v>TO-s16-PAR</v>
      </c>
      <c r="C95" t="s">
        <v>432</v>
      </c>
      <c r="D95" t="s">
        <v>746</v>
      </c>
      <c r="E95" t="s">
        <v>747</v>
      </c>
      <c r="F95" t="s">
        <v>481</v>
      </c>
      <c r="G95" t="s">
        <v>748</v>
      </c>
    </row>
    <row r="96" spans="1:7" x14ac:dyDescent="0.35">
      <c r="A96">
        <v>16</v>
      </c>
      <c r="B96" t="str">
        <f t="shared" si="2"/>
        <v>TO-s16-PAR</v>
      </c>
      <c r="C96" t="s">
        <v>433</v>
      </c>
      <c r="D96" t="s">
        <v>749</v>
      </c>
      <c r="E96" t="s">
        <v>750</v>
      </c>
      <c r="F96" t="s">
        <v>512</v>
      </c>
      <c r="G96" t="s">
        <v>751</v>
      </c>
    </row>
    <row r="97" spans="1:7" x14ac:dyDescent="0.35">
      <c r="A97">
        <v>16</v>
      </c>
      <c r="B97" t="str">
        <f t="shared" si="2"/>
        <v>TO-s16-PAR</v>
      </c>
      <c r="C97" t="s">
        <v>434</v>
      </c>
      <c r="D97" t="s">
        <v>752</v>
      </c>
      <c r="E97" t="s">
        <v>753</v>
      </c>
      <c r="F97" t="s">
        <v>530</v>
      </c>
      <c r="G97" t="s">
        <v>398</v>
      </c>
    </row>
    <row r="98" spans="1:7" x14ac:dyDescent="0.35">
      <c r="A98">
        <v>17</v>
      </c>
      <c r="B98" t="str">
        <f>_xlfn.CONCAT("TO-s",A98,"-PAR")</f>
        <v>TO-s17-PAR</v>
      </c>
      <c r="C98" t="s">
        <v>430</v>
      </c>
      <c r="D98" t="s">
        <v>754</v>
      </c>
      <c r="E98" t="s">
        <v>755</v>
      </c>
      <c r="F98" t="s">
        <v>689</v>
      </c>
      <c r="G98" t="s">
        <v>756</v>
      </c>
    </row>
    <row r="99" spans="1:7" x14ac:dyDescent="0.35">
      <c r="A99">
        <v>17</v>
      </c>
      <c r="B99" t="str">
        <f t="shared" si="2"/>
        <v>TO-s17-PAR</v>
      </c>
      <c r="C99" t="s">
        <v>424</v>
      </c>
      <c r="D99" t="s">
        <v>757</v>
      </c>
      <c r="E99" t="s">
        <v>758</v>
      </c>
      <c r="F99" t="s">
        <v>291</v>
      </c>
      <c r="G99" t="s">
        <v>759</v>
      </c>
    </row>
    <row r="100" spans="1:7" x14ac:dyDescent="0.35">
      <c r="A100">
        <v>17</v>
      </c>
      <c r="B100" t="str">
        <f t="shared" si="2"/>
        <v>TO-s17-PAR</v>
      </c>
      <c r="C100" t="s">
        <v>431</v>
      </c>
      <c r="D100" t="s">
        <v>760</v>
      </c>
      <c r="E100" t="s">
        <v>761</v>
      </c>
      <c r="F100" t="s">
        <v>762</v>
      </c>
      <c r="G100" t="s">
        <v>400</v>
      </c>
    </row>
    <row r="101" spans="1:7" x14ac:dyDescent="0.35">
      <c r="A101">
        <v>17</v>
      </c>
      <c r="B101" t="str">
        <f t="shared" si="2"/>
        <v>TO-s17-PAR</v>
      </c>
      <c r="C101" t="s">
        <v>432</v>
      </c>
      <c r="D101" t="s">
        <v>763</v>
      </c>
      <c r="E101" t="s">
        <v>764</v>
      </c>
      <c r="F101" t="s">
        <v>474</v>
      </c>
      <c r="G101" t="s">
        <v>765</v>
      </c>
    </row>
    <row r="102" spans="1:7" x14ac:dyDescent="0.35">
      <c r="A102">
        <v>17</v>
      </c>
      <c r="B102" t="str">
        <f t="shared" si="2"/>
        <v>TO-s17-PAR</v>
      </c>
      <c r="C102" t="s">
        <v>433</v>
      </c>
      <c r="D102" t="s">
        <v>766</v>
      </c>
      <c r="E102" t="s">
        <v>767</v>
      </c>
      <c r="F102" t="s">
        <v>768</v>
      </c>
      <c r="G102" t="s">
        <v>769</v>
      </c>
    </row>
    <row r="103" spans="1:7" x14ac:dyDescent="0.35">
      <c r="A103">
        <v>17</v>
      </c>
      <c r="B103" t="str">
        <f t="shared" si="2"/>
        <v>TO-s17-PAR</v>
      </c>
      <c r="C103" t="s">
        <v>434</v>
      </c>
      <c r="D103" t="s">
        <v>770</v>
      </c>
      <c r="E103" t="s">
        <v>771</v>
      </c>
      <c r="F103" t="s">
        <v>772</v>
      </c>
      <c r="G103" t="s">
        <v>773</v>
      </c>
    </row>
    <row r="104" spans="1:7" x14ac:dyDescent="0.35">
      <c r="A104">
        <v>18</v>
      </c>
      <c r="B104" t="str">
        <f>_xlfn.CONCAT("TO-s",A104,"-PAR")</f>
        <v>TO-s18-PAR</v>
      </c>
      <c r="C104" t="s">
        <v>430</v>
      </c>
      <c r="D104" t="s">
        <v>774</v>
      </c>
      <c r="E104" t="s">
        <v>775</v>
      </c>
      <c r="F104" t="s">
        <v>537</v>
      </c>
      <c r="G104" t="s">
        <v>401</v>
      </c>
    </row>
    <row r="105" spans="1:7" x14ac:dyDescent="0.35">
      <c r="A105">
        <v>18</v>
      </c>
      <c r="B105" t="str">
        <f t="shared" si="2"/>
        <v>TO-s18-PAR</v>
      </c>
      <c r="C105" t="s">
        <v>424</v>
      </c>
      <c r="D105" t="s">
        <v>776</v>
      </c>
      <c r="E105" t="s">
        <v>777</v>
      </c>
      <c r="F105" t="s">
        <v>778</v>
      </c>
      <c r="G105" t="s">
        <v>779</v>
      </c>
    </row>
    <row r="106" spans="1:7" x14ac:dyDescent="0.35">
      <c r="A106">
        <v>18</v>
      </c>
      <c r="B106" t="str">
        <f t="shared" si="2"/>
        <v>TO-s18-PAR</v>
      </c>
      <c r="C106" t="s">
        <v>431</v>
      </c>
      <c r="D106" t="s">
        <v>780</v>
      </c>
      <c r="E106" t="s">
        <v>781</v>
      </c>
      <c r="F106" t="s">
        <v>446</v>
      </c>
      <c r="G106" t="s">
        <v>419</v>
      </c>
    </row>
    <row r="107" spans="1:7" x14ac:dyDescent="0.35">
      <c r="A107">
        <v>18</v>
      </c>
      <c r="B107" t="str">
        <f t="shared" si="2"/>
        <v>TO-s18-PAR</v>
      </c>
      <c r="C107" t="s">
        <v>432</v>
      </c>
      <c r="D107" t="s">
        <v>782</v>
      </c>
      <c r="E107" t="s">
        <v>783</v>
      </c>
      <c r="F107" t="s">
        <v>784</v>
      </c>
      <c r="G107" t="s">
        <v>785</v>
      </c>
    </row>
    <row r="108" spans="1:7" x14ac:dyDescent="0.35">
      <c r="A108">
        <v>18</v>
      </c>
      <c r="B108" t="str">
        <f t="shared" si="2"/>
        <v>TO-s18-PAR</v>
      </c>
      <c r="C108" t="s">
        <v>433</v>
      </c>
      <c r="D108" t="s">
        <v>786</v>
      </c>
      <c r="E108" t="s">
        <v>787</v>
      </c>
      <c r="F108" t="s">
        <v>772</v>
      </c>
      <c r="G108" t="s">
        <v>788</v>
      </c>
    </row>
    <row r="109" spans="1:7" x14ac:dyDescent="0.35">
      <c r="A109">
        <v>18</v>
      </c>
      <c r="B109" t="str">
        <f t="shared" si="2"/>
        <v>TO-s18-PAR</v>
      </c>
      <c r="C109" t="s">
        <v>434</v>
      </c>
      <c r="D109" t="s">
        <v>789</v>
      </c>
      <c r="E109" t="s">
        <v>790</v>
      </c>
      <c r="F109" t="s">
        <v>466</v>
      </c>
      <c r="G109" t="s">
        <v>791</v>
      </c>
    </row>
    <row r="110" spans="1:7" x14ac:dyDescent="0.35">
      <c r="A110">
        <v>19</v>
      </c>
      <c r="B110" t="str">
        <f>_xlfn.CONCAT("TO-s",A110,"-PAR")</f>
        <v>TO-s19-PAR</v>
      </c>
      <c r="C110" t="s">
        <v>430</v>
      </c>
      <c r="D110" t="s">
        <v>792</v>
      </c>
      <c r="E110" t="s">
        <v>793</v>
      </c>
      <c r="F110" t="s">
        <v>794</v>
      </c>
      <c r="G110" t="s">
        <v>795</v>
      </c>
    </row>
    <row r="111" spans="1:7" x14ac:dyDescent="0.35">
      <c r="A111">
        <v>19</v>
      </c>
      <c r="B111" t="str">
        <f t="shared" si="2"/>
        <v>TO-s19-PAR</v>
      </c>
      <c r="C111" t="s">
        <v>424</v>
      </c>
      <c r="D111" t="s">
        <v>796</v>
      </c>
      <c r="E111" t="s">
        <v>797</v>
      </c>
      <c r="F111" t="s">
        <v>798</v>
      </c>
      <c r="G111" t="s">
        <v>799</v>
      </c>
    </row>
    <row r="112" spans="1:7" x14ac:dyDescent="0.35">
      <c r="A112">
        <v>19</v>
      </c>
      <c r="B112" t="str">
        <f t="shared" si="2"/>
        <v>TO-s19-PAR</v>
      </c>
      <c r="C112" t="s">
        <v>431</v>
      </c>
      <c r="D112" s="2" t="s">
        <v>800</v>
      </c>
      <c r="E112" s="2" t="s">
        <v>801</v>
      </c>
      <c r="F112" s="3" t="s">
        <v>470</v>
      </c>
      <c r="G112" s="2" t="s">
        <v>405</v>
      </c>
    </row>
    <row r="113" spans="1:7" x14ac:dyDescent="0.35">
      <c r="A113">
        <v>19</v>
      </c>
      <c r="B113" t="str">
        <f t="shared" si="2"/>
        <v>TO-s19-PAR</v>
      </c>
      <c r="C113" t="s">
        <v>432</v>
      </c>
      <c r="D113" s="2" t="s">
        <v>802</v>
      </c>
      <c r="E113" s="2" t="s">
        <v>803</v>
      </c>
      <c r="F113" s="3" t="s">
        <v>804</v>
      </c>
      <c r="G113" s="2" t="s">
        <v>805</v>
      </c>
    </row>
    <row r="114" spans="1:7" x14ac:dyDescent="0.35">
      <c r="A114">
        <v>19</v>
      </c>
      <c r="B114" t="str">
        <f t="shared" si="2"/>
        <v>TO-s19-PAR</v>
      </c>
      <c r="C114" t="s">
        <v>433</v>
      </c>
      <c r="D114" t="s">
        <v>806</v>
      </c>
      <c r="E114" s="2" t="s">
        <v>807</v>
      </c>
      <c r="F114" s="3" t="s">
        <v>427</v>
      </c>
      <c r="G114" s="2" t="s">
        <v>808</v>
      </c>
    </row>
    <row r="115" spans="1:7" x14ac:dyDescent="0.35">
      <c r="A115">
        <v>19</v>
      </c>
      <c r="B115" t="str">
        <f t="shared" ref="B115" si="3">_xlfn.CONCAT("TO-s",A115,"-PAR")</f>
        <v>TO-s19-PAR</v>
      </c>
      <c r="C115" t="s">
        <v>434</v>
      </c>
      <c r="D115" s="2" t="s">
        <v>809</v>
      </c>
      <c r="E115" s="2" t="s">
        <v>783</v>
      </c>
      <c r="F115" s="4" t="s">
        <v>481</v>
      </c>
      <c r="G115" s="2" t="s">
        <v>810</v>
      </c>
    </row>
    <row r="116" spans="1:7" x14ac:dyDescent="0.35">
      <c r="A116">
        <v>20</v>
      </c>
      <c r="B116" t="str">
        <f>_xlfn.CONCAT("TO-s",A116,"-PAR")</f>
        <v>TO-s20-PAR</v>
      </c>
      <c r="C116" t="s">
        <v>430</v>
      </c>
      <c r="D116" s="2" t="s">
        <v>811</v>
      </c>
      <c r="E116" s="2" t="s">
        <v>755</v>
      </c>
      <c r="F116" s="4" t="s">
        <v>618</v>
      </c>
      <c r="G116" s="2" t="s">
        <v>812</v>
      </c>
    </row>
    <row r="117" spans="1:7" x14ac:dyDescent="0.35">
      <c r="A117">
        <v>20</v>
      </c>
      <c r="B117" t="str">
        <f t="shared" ref="B117:B121" si="4">_xlfn.CONCAT("TO-s",A117,"-PAR")</f>
        <v>TO-s20-PAR</v>
      </c>
      <c r="C117" t="s">
        <v>424</v>
      </c>
      <c r="D117" s="2" t="s">
        <v>813</v>
      </c>
      <c r="E117" s="2" t="s">
        <v>814</v>
      </c>
      <c r="F117" s="3" t="s">
        <v>580</v>
      </c>
      <c r="G117" s="2" t="s">
        <v>815</v>
      </c>
    </row>
    <row r="118" spans="1:7" x14ac:dyDescent="0.35">
      <c r="A118">
        <v>20</v>
      </c>
      <c r="B118" t="str">
        <f t="shared" si="4"/>
        <v>TO-s20-PAR</v>
      </c>
      <c r="C118" t="s">
        <v>431</v>
      </c>
      <c r="D118" s="2" t="s">
        <v>816</v>
      </c>
      <c r="E118" s="2" t="s">
        <v>111</v>
      </c>
      <c r="F118" s="3" t="s">
        <v>455</v>
      </c>
      <c r="G118" s="2" t="s">
        <v>407</v>
      </c>
    </row>
    <row r="119" spans="1:7" x14ac:dyDescent="0.35">
      <c r="A119">
        <v>20</v>
      </c>
      <c r="B119" t="str">
        <f t="shared" si="4"/>
        <v>TO-s20-PAR</v>
      </c>
      <c r="C119" t="s">
        <v>432</v>
      </c>
      <c r="D119" s="1" t="s">
        <v>817</v>
      </c>
      <c r="E119" s="2" t="s">
        <v>783</v>
      </c>
      <c r="F119" s="3" t="s">
        <v>681</v>
      </c>
      <c r="G119" s="2" t="s">
        <v>410</v>
      </c>
    </row>
    <row r="120" spans="1:7" x14ac:dyDescent="0.35">
      <c r="A120">
        <v>20</v>
      </c>
      <c r="B120" t="str">
        <f t="shared" si="4"/>
        <v>TO-s20-PAR</v>
      </c>
      <c r="C120" t="s">
        <v>433</v>
      </c>
      <c r="D120" s="2" t="s">
        <v>818</v>
      </c>
      <c r="E120" s="2" t="s">
        <v>819</v>
      </c>
      <c r="F120" s="3" t="s">
        <v>823</v>
      </c>
      <c r="G120" s="2" t="s">
        <v>413</v>
      </c>
    </row>
    <row r="121" spans="1:7" x14ac:dyDescent="0.35">
      <c r="A121">
        <v>20</v>
      </c>
      <c r="B121" t="str">
        <f t="shared" si="4"/>
        <v>TO-s20-PAR</v>
      </c>
      <c r="C121" t="s">
        <v>434</v>
      </c>
      <c r="D121" s="2" t="s">
        <v>820</v>
      </c>
      <c r="E121" s="2" t="s">
        <v>821</v>
      </c>
      <c r="F121" s="3" t="s">
        <v>822</v>
      </c>
      <c r="G121" s="2" t="s">
        <v>414</v>
      </c>
    </row>
    <row r="122" spans="1:7" x14ac:dyDescent="0.35">
      <c r="A122">
        <v>21</v>
      </c>
      <c r="B122" t="str">
        <f>_xlfn.CONCAT("TO-s",A122,"-PAR")</f>
        <v>TO-s21-PAR</v>
      </c>
      <c r="C122" t="s">
        <v>430</v>
      </c>
      <c r="D122" s="5" t="s">
        <v>824</v>
      </c>
    </row>
    <row r="123" spans="1:7" x14ac:dyDescent="0.35">
      <c r="A123">
        <v>21</v>
      </c>
      <c r="B123" t="str">
        <f t="shared" ref="B123:B127" si="5">_xlfn.CONCAT("TO-s",A123,"-PAR")</f>
        <v>TO-s21-PAR</v>
      </c>
      <c r="C123" t="s">
        <v>424</v>
      </c>
    </row>
    <row r="124" spans="1:7" x14ac:dyDescent="0.35">
      <c r="A124">
        <v>21</v>
      </c>
      <c r="B124" t="str">
        <f t="shared" si="5"/>
        <v>TO-s21-PAR</v>
      </c>
      <c r="C124" t="s">
        <v>431</v>
      </c>
    </row>
    <row r="125" spans="1:7" x14ac:dyDescent="0.35">
      <c r="A125">
        <v>21</v>
      </c>
      <c r="B125" t="str">
        <f t="shared" si="5"/>
        <v>TO-s21-PAR</v>
      </c>
      <c r="C125" t="s">
        <v>432</v>
      </c>
    </row>
    <row r="126" spans="1:7" x14ac:dyDescent="0.35">
      <c r="A126">
        <v>21</v>
      </c>
      <c r="B126" t="str">
        <f t="shared" si="5"/>
        <v>TO-s21-PAR</v>
      </c>
      <c r="C126" t="s">
        <v>433</v>
      </c>
    </row>
    <row r="127" spans="1:7" x14ac:dyDescent="0.35">
      <c r="A127">
        <v>21</v>
      </c>
      <c r="B127" t="str">
        <f t="shared" si="5"/>
        <v>TO-s21-PAR</v>
      </c>
      <c r="C127" t="s">
        <v>434</v>
      </c>
    </row>
    <row r="128" spans="1:7" x14ac:dyDescent="0.35">
      <c r="A128">
        <v>22</v>
      </c>
      <c r="B128" t="str">
        <f>_xlfn.CONCAT("TO-s",A128,"-PAR")</f>
        <v>TO-s22-PAR</v>
      </c>
      <c r="C128" t="s">
        <v>430</v>
      </c>
    </row>
    <row r="129" spans="1:3" x14ac:dyDescent="0.35">
      <c r="A129">
        <v>22</v>
      </c>
      <c r="B129" t="str">
        <f t="shared" ref="B129:B133" si="6">_xlfn.CONCAT("TO-s",A129,"-PAR")</f>
        <v>TO-s22-PAR</v>
      </c>
      <c r="C129" t="s">
        <v>424</v>
      </c>
    </row>
    <row r="130" spans="1:3" x14ac:dyDescent="0.35">
      <c r="A130">
        <v>22</v>
      </c>
      <c r="B130" t="str">
        <f t="shared" si="6"/>
        <v>TO-s22-PAR</v>
      </c>
      <c r="C130" t="s">
        <v>431</v>
      </c>
    </row>
    <row r="131" spans="1:3" x14ac:dyDescent="0.35">
      <c r="A131">
        <v>22</v>
      </c>
      <c r="B131" t="str">
        <f t="shared" si="6"/>
        <v>TO-s22-PAR</v>
      </c>
      <c r="C131" t="s">
        <v>432</v>
      </c>
    </row>
    <row r="132" spans="1:3" x14ac:dyDescent="0.35">
      <c r="A132">
        <v>22</v>
      </c>
      <c r="B132" t="str">
        <f t="shared" si="6"/>
        <v>TO-s22-PAR</v>
      </c>
      <c r="C132" t="s">
        <v>433</v>
      </c>
    </row>
    <row r="133" spans="1:3" x14ac:dyDescent="0.35">
      <c r="A133">
        <v>22</v>
      </c>
      <c r="B133" t="str">
        <f t="shared" si="6"/>
        <v>TO-s22-PAR</v>
      </c>
      <c r="C133" t="s">
        <v>434</v>
      </c>
    </row>
    <row r="134" spans="1:3" x14ac:dyDescent="0.35">
      <c r="A134">
        <v>23</v>
      </c>
      <c r="B134" t="str">
        <f>_xlfn.CONCAT("TO-s",A134,"-PAR")</f>
        <v>TO-s23-PAR</v>
      </c>
      <c r="C134" t="s">
        <v>430</v>
      </c>
    </row>
    <row r="135" spans="1:3" x14ac:dyDescent="0.35">
      <c r="A135">
        <v>23</v>
      </c>
      <c r="B135" t="str">
        <f t="shared" ref="B135:B139" si="7">_xlfn.CONCAT("TO-s",A135,"-PAR")</f>
        <v>TO-s23-PAR</v>
      </c>
      <c r="C135" t="s">
        <v>424</v>
      </c>
    </row>
    <row r="136" spans="1:3" x14ac:dyDescent="0.35">
      <c r="A136">
        <v>23</v>
      </c>
      <c r="B136" t="str">
        <f t="shared" si="7"/>
        <v>TO-s23-PAR</v>
      </c>
      <c r="C136" t="s">
        <v>431</v>
      </c>
    </row>
    <row r="137" spans="1:3" x14ac:dyDescent="0.35">
      <c r="A137">
        <v>23</v>
      </c>
      <c r="B137" t="str">
        <f t="shared" si="7"/>
        <v>TO-s23-PAR</v>
      </c>
      <c r="C137" t="s">
        <v>432</v>
      </c>
    </row>
    <row r="138" spans="1:3" x14ac:dyDescent="0.35">
      <c r="A138">
        <v>23</v>
      </c>
      <c r="B138" t="str">
        <f t="shared" si="7"/>
        <v>TO-s23-PAR</v>
      </c>
      <c r="C138" t="s">
        <v>433</v>
      </c>
    </row>
    <row r="139" spans="1:3" x14ac:dyDescent="0.35">
      <c r="A139">
        <v>23</v>
      </c>
      <c r="B139" t="str">
        <f t="shared" si="7"/>
        <v>TO-s23-PAR</v>
      </c>
      <c r="C139" t="s">
        <v>434</v>
      </c>
    </row>
    <row r="140" spans="1:3" x14ac:dyDescent="0.35">
      <c r="A140">
        <v>24</v>
      </c>
      <c r="B140" t="str">
        <f>_xlfn.CONCAT("TO-s",A140,"-PAR")</f>
        <v>TO-s24-PAR</v>
      </c>
      <c r="C140" t="s">
        <v>430</v>
      </c>
    </row>
    <row r="141" spans="1:3" x14ac:dyDescent="0.35">
      <c r="A141">
        <v>24</v>
      </c>
      <c r="B141" t="str">
        <f t="shared" ref="B141:B145" si="8">_xlfn.CONCAT("TO-s",A141,"-PAR")</f>
        <v>TO-s24-PAR</v>
      </c>
      <c r="C141" t="s">
        <v>424</v>
      </c>
    </row>
    <row r="142" spans="1:3" x14ac:dyDescent="0.35">
      <c r="A142">
        <v>24</v>
      </c>
      <c r="B142" t="str">
        <f t="shared" si="8"/>
        <v>TO-s24-PAR</v>
      </c>
      <c r="C142" t="s">
        <v>431</v>
      </c>
    </row>
    <row r="143" spans="1:3" x14ac:dyDescent="0.35">
      <c r="A143">
        <v>24</v>
      </c>
      <c r="B143" t="str">
        <f t="shared" si="8"/>
        <v>TO-s24-PAR</v>
      </c>
      <c r="C143" t="s">
        <v>432</v>
      </c>
    </row>
    <row r="144" spans="1:3" x14ac:dyDescent="0.35">
      <c r="A144">
        <v>24</v>
      </c>
      <c r="B144" t="str">
        <f t="shared" si="8"/>
        <v>TO-s24-PAR</v>
      </c>
      <c r="C144" t="s">
        <v>433</v>
      </c>
    </row>
    <row r="145" spans="1:3" x14ac:dyDescent="0.35">
      <c r="A145">
        <v>24</v>
      </c>
      <c r="B145" t="str">
        <f t="shared" si="8"/>
        <v>TO-s24-PAR</v>
      </c>
      <c r="C145" t="s">
        <v>434</v>
      </c>
    </row>
    <row r="146" spans="1:3" x14ac:dyDescent="0.35">
      <c r="A146">
        <v>25</v>
      </c>
      <c r="B146" t="str">
        <f>_xlfn.CONCAT("TO-s",A146,"-PAR")</f>
        <v>TO-s25-PAR</v>
      </c>
      <c r="C146" t="s">
        <v>430</v>
      </c>
    </row>
    <row r="147" spans="1:3" x14ac:dyDescent="0.35">
      <c r="A147">
        <v>25</v>
      </c>
      <c r="B147" t="str">
        <f t="shared" ref="B147:B151" si="9">_xlfn.CONCAT("TO-s",A147,"-PAR")</f>
        <v>TO-s25-PAR</v>
      </c>
      <c r="C147" t="s">
        <v>424</v>
      </c>
    </row>
    <row r="148" spans="1:3" x14ac:dyDescent="0.35">
      <c r="A148">
        <v>25</v>
      </c>
      <c r="B148" t="str">
        <f t="shared" si="9"/>
        <v>TO-s25-PAR</v>
      </c>
      <c r="C148" t="s">
        <v>431</v>
      </c>
    </row>
    <row r="149" spans="1:3" x14ac:dyDescent="0.35">
      <c r="A149">
        <v>25</v>
      </c>
      <c r="B149" t="str">
        <f t="shared" si="9"/>
        <v>TO-s25-PAR</v>
      </c>
      <c r="C149" t="s">
        <v>432</v>
      </c>
    </row>
    <row r="150" spans="1:3" x14ac:dyDescent="0.35">
      <c r="A150">
        <v>25</v>
      </c>
      <c r="B150" t="str">
        <f t="shared" si="9"/>
        <v>TO-s25-PAR</v>
      </c>
      <c r="C150" t="s">
        <v>433</v>
      </c>
    </row>
    <row r="151" spans="1:3" x14ac:dyDescent="0.35">
      <c r="A151">
        <v>25</v>
      </c>
      <c r="B151" t="str">
        <f t="shared" si="9"/>
        <v>TO-s25-PAR</v>
      </c>
      <c r="C151" t="s">
        <v>434</v>
      </c>
    </row>
    <row r="152" spans="1:3" x14ac:dyDescent="0.35">
      <c r="A152">
        <v>26</v>
      </c>
      <c r="B152" t="str">
        <f>_xlfn.CONCAT("TO-s",A152,"-PAR")</f>
        <v>TO-s26-PAR</v>
      </c>
      <c r="C152" t="s">
        <v>430</v>
      </c>
    </row>
    <row r="153" spans="1:3" x14ac:dyDescent="0.35">
      <c r="A153">
        <v>26</v>
      </c>
      <c r="B153" t="str">
        <f t="shared" ref="B153:B157" si="10">_xlfn.CONCAT("TO-s",A153,"-PAR")</f>
        <v>TO-s26-PAR</v>
      </c>
      <c r="C153" t="s">
        <v>424</v>
      </c>
    </row>
    <row r="154" spans="1:3" x14ac:dyDescent="0.35">
      <c r="A154">
        <v>26</v>
      </c>
      <c r="B154" t="str">
        <f t="shared" si="10"/>
        <v>TO-s26-PAR</v>
      </c>
      <c r="C154" t="s">
        <v>431</v>
      </c>
    </row>
    <row r="155" spans="1:3" x14ac:dyDescent="0.35">
      <c r="A155">
        <v>26</v>
      </c>
      <c r="B155" t="str">
        <f t="shared" si="10"/>
        <v>TO-s26-PAR</v>
      </c>
      <c r="C155" t="s">
        <v>432</v>
      </c>
    </row>
    <row r="156" spans="1:3" x14ac:dyDescent="0.35">
      <c r="A156">
        <v>26</v>
      </c>
      <c r="B156" t="str">
        <f t="shared" si="10"/>
        <v>TO-s26-PAR</v>
      </c>
      <c r="C156" t="s">
        <v>433</v>
      </c>
    </row>
    <row r="157" spans="1:3" x14ac:dyDescent="0.35">
      <c r="A157">
        <v>26</v>
      </c>
      <c r="B157" t="str">
        <f t="shared" si="10"/>
        <v>TO-s26-PAR</v>
      </c>
      <c r="C157" t="s">
        <v>434</v>
      </c>
    </row>
    <row r="158" spans="1:3" x14ac:dyDescent="0.35">
      <c r="A158">
        <v>27</v>
      </c>
      <c r="B158" t="str">
        <f>_xlfn.CONCAT("TO-s",A158,"-PAR")</f>
        <v>TO-s27-PAR</v>
      </c>
      <c r="C158" t="s">
        <v>430</v>
      </c>
    </row>
    <row r="159" spans="1:3" x14ac:dyDescent="0.35">
      <c r="A159">
        <v>27</v>
      </c>
      <c r="B159" t="str">
        <f t="shared" ref="B159:B163" si="11">_xlfn.CONCAT("TO-s",A159,"-PAR")</f>
        <v>TO-s27-PAR</v>
      </c>
      <c r="C159" t="s">
        <v>424</v>
      </c>
    </row>
    <row r="160" spans="1:3" x14ac:dyDescent="0.35">
      <c r="A160">
        <v>27</v>
      </c>
      <c r="B160" t="str">
        <f t="shared" si="11"/>
        <v>TO-s27-PAR</v>
      </c>
      <c r="C160" t="s">
        <v>431</v>
      </c>
    </row>
    <row r="161" spans="1:3" x14ac:dyDescent="0.35">
      <c r="A161">
        <v>27</v>
      </c>
      <c r="B161" t="str">
        <f t="shared" si="11"/>
        <v>TO-s27-PAR</v>
      </c>
      <c r="C161" t="s">
        <v>432</v>
      </c>
    </row>
    <row r="162" spans="1:3" x14ac:dyDescent="0.35">
      <c r="A162">
        <v>27</v>
      </c>
      <c r="B162" t="str">
        <f t="shared" si="11"/>
        <v>TO-s27-PAR</v>
      </c>
      <c r="C162" t="s">
        <v>433</v>
      </c>
    </row>
    <row r="163" spans="1:3" x14ac:dyDescent="0.35">
      <c r="A163">
        <v>27</v>
      </c>
      <c r="B163" t="str">
        <f t="shared" si="11"/>
        <v>TO-s27-PAR</v>
      </c>
      <c r="C163" t="s">
        <v>434</v>
      </c>
    </row>
    <row r="164" spans="1:3" x14ac:dyDescent="0.35">
      <c r="A164">
        <v>28</v>
      </c>
      <c r="B164" t="str">
        <f>_xlfn.CONCAT("TO-s",A164,"-PAR")</f>
        <v>TO-s28-PAR</v>
      </c>
      <c r="C164" t="s">
        <v>430</v>
      </c>
    </row>
    <row r="165" spans="1:3" x14ac:dyDescent="0.35">
      <c r="A165">
        <v>28</v>
      </c>
      <c r="B165" t="str">
        <f t="shared" ref="B165:B169" si="12">_xlfn.CONCAT("TO-s",A165,"-PAR")</f>
        <v>TO-s28-PAR</v>
      </c>
      <c r="C165" t="s">
        <v>424</v>
      </c>
    </row>
    <row r="166" spans="1:3" x14ac:dyDescent="0.35">
      <c r="A166">
        <v>28</v>
      </c>
      <c r="B166" t="str">
        <f t="shared" si="12"/>
        <v>TO-s28-PAR</v>
      </c>
      <c r="C166" t="s">
        <v>431</v>
      </c>
    </row>
    <row r="167" spans="1:3" x14ac:dyDescent="0.35">
      <c r="A167">
        <v>28</v>
      </c>
      <c r="B167" t="str">
        <f t="shared" si="12"/>
        <v>TO-s28-PAR</v>
      </c>
      <c r="C167" t="s">
        <v>432</v>
      </c>
    </row>
    <row r="168" spans="1:3" x14ac:dyDescent="0.35">
      <c r="A168">
        <v>28</v>
      </c>
      <c r="B168" t="str">
        <f t="shared" si="12"/>
        <v>TO-s28-PAR</v>
      </c>
      <c r="C168" t="s">
        <v>433</v>
      </c>
    </row>
    <row r="169" spans="1:3" x14ac:dyDescent="0.35">
      <c r="A169">
        <v>28</v>
      </c>
      <c r="B169" t="str">
        <f t="shared" si="12"/>
        <v>TO-s28-PAR</v>
      </c>
      <c r="C169" t="s">
        <v>434</v>
      </c>
    </row>
    <row r="170" spans="1:3" x14ac:dyDescent="0.35">
      <c r="A170">
        <v>29</v>
      </c>
      <c r="B170" t="str">
        <f>_xlfn.CONCAT("TO-s",A170,"-PAR")</f>
        <v>TO-s29-PAR</v>
      </c>
      <c r="C170" t="s">
        <v>430</v>
      </c>
    </row>
    <row r="171" spans="1:3" x14ac:dyDescent="0.35">
      <c r="A171">
        <v>29</v>
      </c>
      <c r="B171" t="str">
        <f t="shared" ref="B171:B175" si="13">_xlfn.CONCAT("TO-s",A171,"-PAR")</f>
        <v>TO-s29-PAR</v>
      </c>
      <c r="C171" t="s">
        <v>424</v>
      </c>
    </row>
    <row r="172" spans="1:3" x14ac:dyDescent="0.35">
      <c r="A172">
        <v>29</v>
      </c>
      <c r="B172" t="str">
        <f t="shared" si="13"/>
        <v>TO-s29-PAR</v>
      </c>
      <c r="C172" t="s">
        <v>431</v>
      </c>
    </row>
    <row r="173" spans="1:3" x14ac:dyDescent="0.35">
      <c r="A173">
        <v>29</v>
      </c>
      <c r="B173" t="str">
        <f t="shared" si="13"/>
        <v>TO-s29-PAR</v>
      </c>
      <c r="C173" t="s">
        <v>432</v>
      </c>
    </row>
    <row r="174" spans="1:3" x14ac:dyDescent="0.35">
      <c r="A174">
        <v>29</v>
      </c>
      <c r="B174" t="str">
        <f t="shared" si="13"/>
        <v>TO-s29-PAR</v>
      </c>
      <c r="C174" t="s">
        <v>433</v>
      </c>
    </row>
    <row r="175" spans="1:3" x14ac:dyDescent="0.35">
      <c r="A175">
        <v>29</v>
      </c>
      <c r="B175" t="str">
        <f t="shared" si="13"/>
        <v>TO-s29-PAR</v>
      </c>
      <c r="C175" t="s">
        <v>434</v>
      </c>
    </row>
    <row r="176" spans="1:3" x14ac:dyDescent="0.35">
      <c r="A176">
        <v>30</v>
      </c>
      <c r="B176" t="str">
        <f>_xlfn.CONCAT("TO-s",A176,"-PAR")</f>
        <v>TO-s30-PAR</v>
      </c>
      <c r="C176" t="s">
        <v>430</v>
      </c>
    </row>
    <row r="177" spans="1:3" x14ac:dyDescent="0.35">
      <c r="A177">
        <v>30</v>
      </c>
      <c r="B177" t="str">
        <f t="shared" ref="B177:B181" si="14">_xlfn.CONCAT("TO-s",A177,"-PAR")</f>
        <v>TO-s30-PAR</v>
      </c>
      <c r="C177" t="s">
        <v>424</v>
      </c>
    </row>
    <row r="178" spans="1:3" x14ac:dyDescent="0.35">
      <c r="A178">
        <v>30</v>
      </c>
      <c r="B178" t="str">
        <f t="shared" si="14"/>
        <v>TO-s30-PAR</v>
      </c>
      <c r="C178" t="s">
        <v>431</v>
      </c>
    </row>
    <row r="179" spans="1:3" x14ac:dyDescent="0.35">
      <c r="A179">
        <v>30</v>
      </c>
      <c r="B179" t="str">
        <f t="shared" si="14"/>
        <v>TO-s30-PAR</v>
      </c>
      <c r="C179" t="s">
        <v>432</v>
      </c>
    </row>
    <row r="180" spans="1:3" x14ac:dyDescent="0.35">
      <c r="A180">
        <v>30</v>
      </c>
      <c r="B180" t="str">
        <f t="shared" si="14"/>
        <v>TO-s30-PAR</v>
      </c>
      <c r="C180" t="s">
        <v>433</v>
      </c>
    </row>
    <row r="181" spans="1:3" x14ac:dyDescent="0.35">
      <c r="A181">
        <v>30</v>
      </c>
      <c r="B181" t="str">
        <f t="shared" si="14"/>
        <v>TO-s30-PAR</v>
      </c>
      <c r="C181" t="s">
        <v>434</v>
      </c>
    </row>
    <row r="182" spans="1:3" x14ac:dyDescent="0.35">
      <c r="A182">
        <v>31</v>
      </c>
      <c r="B182" t="str">
        <f>_xlfn.CONCAT("TO-s",A182,"-PAR")</f>
        <v>TO-s31-PAR</v>
      </c>
      <c r="C182" t="s">
        <v>430</v>
      </c>
    </row>
    <row r="183" spans="1:3" x14ac:dyDescent="0.35">
      <c r="A183">
        <v>31</v>
      </c>
      <c r="B183" t="str">
        <f t="shared" ref="B183:B187" si="15">_xlfn.CONCAT("TO-s",A183,"-PAR")</f>
        <v>TO-s31-PAR</v>
      </c>
      <c r="C183" t="s">
        <v>424</v>
      </c>
    </row>
    <row r="184" spans="1:3" x14ac:dyDescent="0.35">
      <c r="A184">
        <v>31</v>
      </c>
      <c r="B184" t="str">
        <f t="shared" si="15"/>
        <v>TO-s31-PAR</v>
      </c>
      <c r="C184" t="s">
        <v>431</v>
      </c>
    </row>
    <row r="185" spans="1:3" x14ac:dyDescent="0.35">
      <c r="A185">
        <v>31</v>
      </c>
      <c r="B185" t="str">
        <f t="shared" si="15"/>
        <v>TO-s31-PAR</v>
      </c>
      <c r="C185" t="s">
        <v>432</v>
      </c>
    </row>
    <row r="186" spans="1:3" x14ac:dyDescent="0.35">
      <c r="A186">
        <v>31</v>
      </c>
      <c r="B186" t="str">
        <f t="shared" si="15"/>
        <v>TO-s31-PAR</v>
      </c>
      <c r="C186" t="s">
        <v>433</v>
      </c>
    </row>
    <row r="187" spans="1:3" x14ac:dyDescent="0.35">
      <c r="A187">
        <v>31</v>
      </c>
      <c r="B187" t="str">
        <f t="shared" si="15"/>
        <v>TO-s31-PAR</v>
      </c>
      <c r="C187" t="s">
        <v>434</v>
      </c>
    </row>
    <row r="188" spans="1:3" x14ac:dyDescent="0.35">
      <c r="A188">
        <v>32</v>
      </c>
      <c r="B188" t="str">
        <f>_xlfn.CONCAT("TO-s",A188,"-PAR")</f>
        <v>TO-s32-PAR</v>
      </c>
      <c r="C188" t="s">
        <v>430</v>
      </c>
    </row>
    <row r="189" spans="1:3" x14ac:dyDescent="0.35">
      <c r="A189">
        <v>32</v>
      </c>
      <c r="B189" t="str">
        <f t="shared" ref="B189:B193" si="16">_xlfn.CONCAT("TO-s",A189,"-PAR")</f>
        <v>TO-s32-PAR</v>
      </c>
      <c r="C189" t="s">
        <v>424</v>
      </c>
    </row>
    <row r="190" spans="1:3" x14ac:dyDescent="0.35">
      <c r="A190">
        <v>32</v>
      </c>
      <c r="B190" t="str">
        <f t="shared" si="16"/>
        <v>TO-s32-PAR</v>
      </c>
      <c r="C190" t="s">
        <v>431</v>
      </c>
    </row>
    <row r="191" spans="1:3" x14ac:dyDescent="0.35">
      <c r="A191">
        <v>32</v>
      </c>
      <c r="B191" t="str">
        <f t="shared" si="16"/>
        <v>TO-s32-PAR</v>
      </c>
      <c r="C191" t="s">
        <v>432</v>
      </c>
    </row>
    <row r="192" spans="1:3" x14ac:dyDescent="0.35">
      <c r="A192">
        <v>32</v>
      </c>
      <c r="B192" t="str">
        <f t="shared" si="16"/>
        <v>TO-s32-PAR</v>
      </c>
      <c r="C192" t="s">
        <v>433</v>
      </c>
    </row>
    <row r="193" spans="1:3" x14ac:dyDescent="0.35">
      <c r="A193">
        <v>32</v>
      </c>
      <c r="B193" t="str">
        <f t="shared" si="16"/>
        <v>TO-s32-PAR</v>
      </c>
      <c r="C193" t="s">
        <v>434</v>
      </c>
    </row>
    <row r="194" spans="1:3" x14ac:dyDescent="0.35">
      <c r="A194">
        <v>33</v>
      </c>
      <c r="B194" t="str">
        <f>_xlfn.CONCAT("TO-s",A194,"-PAR")</f>
        <v>TO-s33-PAR</v>
      </c>
      <c r="C194" t="s">
        <v>430</v>
      </c>
    </row>
    <row r="195" spans="1:3" x14ac:dyDescent="0.35">
      <c r="A195">
        <v>33</v>
      </c>
      <c r="B195" t="str">
        <f t="shared" ref="B195:B199" si="17">_xlfn.CONCAT("TO-s",A195,"-PAR")</f>
        <v>TO-s33-PAR</v>
      </c>
      <c r="C195" t="s">
        <v>424</v>
      </c>
    </row>
    <row r="196" spans="1:3" x14ac:dyDescent="0.35">
      <c r="A196">
        <v>33</v>
      </c>
      <c r="B196" t="str">
        <f t="shared" si="17"/>
        <v>TO-s33-PAR</v>
      </c>
      <c r="C196" t="s">
        <v>431</v>
      </c>
    </row>
    <row r="197" spans="1:3" x14ac:dyDescent="0.35">
      <c r="A197">
        <v>33</v>
      </c>
      <c r="B197" t="str">
        <f t="shared" si="17"/>
        <v>TO-s33-PAR</v>
      </c>
      <c r="C197" t="s">
        <v>432</v>
      </c>
    </row>
    <row r="198" spans="1:3" x14ac:dyDescent="0.35">
      <c r="A198">
        <v>33</v>
      </c>
      <c r="B198" t="str">
        <f t="shared" si="17"/>
        <v>TO-s33-PAR</v>
      </c>
      <c r="C198" t="s">
        <v>433</v>
      </c>
    </row>
    <row r="199" spans="1:3" x14ac:dyDescent="0.35">
      <c r="A199">
        <v>33</v>
      </c>
      <c r="B199" t="str">
        <f t="shared" si="17"/>
        <v>TO-s33-PAR</v>
      </c>
      <c r="C199" t="s">
        <v>434</v>
      </c>
    </row>
    <row r="200" spans="1:3" x14ac:dyDescent="0.35">
      <c r="A200">
        <v>34</v>
      </c>
      <c r="B200" t="str">
        <f>_xlfn.CONCAT("TO-s",A200,"-PAR")</f>
        <v>TO-s34-PAR</v>
      </c>
      <c r="C200" t="s">
        <v>430</v>
      </c>
    </row>
    <row r="201" spans="1:3" x14ac:dyDescent="0.35">
      <c r="A201">
        <v>34</v>
      </c>
      <c r="B201" t="str">
        <f t="shared" ref="B201:B205" si="18">_xlfn.CONCAT("TO-s",A201,"-PAR")</f>
        <v>TO-s34-PAR</v>
      </c>
      <c r="C201" t="s">
        <v>424</v>
      </c>
    </row>
    <row r="202" spans="1:3" x14ac:dyDescent="0.35">
      <c r="A202">
        <v>34</v>
      </c>
      <c r="B202" t="str">
        <f t="shared" si="18"/>
        <v>TO-s34-PAR</v>
      </c>
      <c r="C202" t="s">
        <v>431</v>
      </c>
    </row>
    <row r="203" spans="1:3" x14ac:dyDescent="0.35">
      <c r="A203">
        <v>34</v>
      </c>
      <c r="B203" t="str">
        <f t="shared" si="18"/>
        <v>TO-s34-PAR</v>
      </c>
      <c r="C203" t="s">
        <v>432</v>
      </c>
    </row>
    <row r="204" spans="1:3" x14ac:dyDescent="0.35">
      <c r="A204">
        <v>34</v>
      </c>
      <c r="B204" t="str">
        <f t="shared" si="18"/>
        <v>TO-s34-PAR</v>
      </c>
      <c r="C204" t="s">
        <v>433</v>
      </c>
    </row>
    <row r="205" spans="1:3" x14ac:dyDescent="0.35">
      <c r="A205">
        <v>34</v>
      </c>
      <c r="B205" t="str">
        <f t="shared" si="18"/>
        <v>TO-s34-PAR</v>
      </c>
      <c r="C205" t="s">
        <v>434</v>
      </c>
    </row>
  </sheetData>
  <hyperlinks>
    <hyperlink ref="D122" r:id="rId1" xr:uid="{2674AFF8-3EE6-404D-9DAC-B7E8C9F38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2026-07-17T19:22:48Z</dcterms:created>
  <dcterms:modified xsi:type="dcterms:W3CDTF">2026-07-20T03:22:50Z</dcterms:modified>
</cp:coreProperties>
</file>