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biblia\src\doc\"/>
    </mc:Choice>
  </mc:AlternateContent>
  <xr:revisionPtr revIDLastSave="0" documentId="13_ncr:1_{849F3B2C-4703-4CBB-B031-88E89FCFE3CD}" xr6:coauthVersionLast="47" xr6:coauthVersionMax="47" xr10:uidLastSave="{00000000-0000-0000-0000-000000000000}"/>
  <bookViews>
    <workbookView xWindow="-120" yWindow="-120" windowWidth="51840" windowHeight="21120" activeTab="2" xr2:uid="{50C77ACD-27A8-4560-9522-4B1F3607ED08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8" i="3" l="1"/>
  <c r="A79" i="3" s="1"/>
  <c r="A77" i="3"/>
  <c r="C77" i="3" s="1"/>
  <c r="C76" i="3"/>
  <c r="A76" i="3"/>
  <c r="C75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A62" i="3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61" i="3"/>
  <c r="A28" i="3"/>
  <c r="C28" i="3" s="1"/>
  <c r="A27" i="3"/>
  <c r="A26" i="3"/>
  <c r="C26" i="3" s="1"/>
  <c r="C27" i="3"/>
  <c r="C25" i="3"/>
  <c r="C14" i="3"/>
  <c r="A14" i="3"/>
  <c r="C17" i="3"/>
  <c r="C16" i="3"/>
  <c r="A17" i="3"/>
  <c r="O19" i="3"/>
  <c r="M19" i="3"/>
  <c r="M18" i="3"/>
  <c r="O17" i="3"/>
  <c r="C8" i="3"/>
  <c r="A9" i="3"/>
  <c r="A10" i="3" s="1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12" i="2"/>
  <c r="D213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7" i="2"/>
  <c r="D6" i="2"/>
  <c r="D5" i="2"/>
  <c r="D4" i="2"/>
  <c r="D3" i="2"/>
  <c r="D2" i="2"/>
  <c r="D8" i="2"/>
  <c r="J13" i="2"/>
  <c r="J12" i="2"/>
  <c r="J11" i="2"/>
  <c r="J10" i="2"/>
  <c r="J9" i="2"/>
  <c r="J8" i="2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21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5" i="1"/>
  <c r="G4" i="1"/>
  <c r="G3" i="1"/>
  <c r="G2" i="1"/>
  <c r="G6" i="1"/>
  <c r="A80" i="3" l="1"/>
  <c r="C80" i="3" s="1"/>
  <c r="C79" i="3"/>
  <c r="C78" i="3"/>
  <c r="A29" i="3"/>
  <c r="A18" i="3"/>
  <c r="C9" i="3"/>
  <c r="A11" i="3"/>
  <c r="A12" i="3" s="1"/>
  <c r="C10" i="3"/>
  <c r="D9" i="2"/>
  <c r="A19" i="3" l="1"/>
  <c r="C18" i="3"/>
  <c r="C29" i="3"/>
  <c r="A30" i="3"/>
  <c r="C11" i="3"/>
  <c r="A13" i="3"/>
  <c r="C13" i="3" s="1"/>
  <c r="C12" i="3"/>
  <c r="D214" i="2"/>
  <c r="D10" i="2"/>
  <c r="C19" i="3" l="1"/>
  <c r="A20" i="3"/>
  <c r="A31" i="3"/>
  <c r="C30" i="3"/>
  <c r="D215" i="2"/>
  <c r="D11" i="2"/>
  <c r="C20" i="3" l="1"/>
  <c r="A21" i="3"/>
  <c r="C21" i="3" s="1"/>
  <c r="A32" i="3"/>
  <c r="C31" i="3"/>
  <c r="D216" i="2"/>
  <c r="D12" i="2"/>
  <c r="C32" i="3" l="1"/>
  <c r="A33" i="3"/>
  <c r="D217" i="2"/>
  <c r="D13" i="2"/>
  <c r="A34" i="3" l="1"/>
  <c r="C33" i="3"/>
  <c r="D218" i="2"/>
  <c r="D14" i="2"/>
  <c r="A35" i="3" l="1"/>
  <c r="C34" i="3"/>
  <c r="D219" i="2"/>
  <c r="D15" i="2"/>
  <c r="C35" i="3" l="1"/>
  <c r="A36" i="3"/>
  <c r="D220" i="2"/>
  <c r="D16" i="2"/>
  <c r="C36" i="3" l="1"/>
  <c r="A37" i="3"/>
  <c r="D221" i="2"/>
  <c r="D17" i="2"/>
  <c r="C37" i="3" l="1"/>
  <c r="A38" i="3"/>
  <c r="D222" i="2"/>
  <c r="D18" i="2"/>
  <c r="A39" i="3" l="1"/>
  <c r="C38" i="3"/>
  <c r="D223" i="2"/>
  <c r="D19" i="2"/>
  <c r="A40" i="3" l="1"/>
  <c r="C39" i="3"/>
  <c r="D224" i="2"/>
  <c r="D20" i="2"/>
  <c r="C40" i="3" l="1"/>
  <c r="A41" i="3"/>
  <c r="D225" i="2"/>
  <c r="D21" i="2"/>
  <c r="A42" i="3" l="1"/>
  <c r="C41" i="3"/>
  <c r="D226" i="2"/>
  <c r="D22" i="2"/>
  <c r="A43" i="3" l="1"/>
  <c r="C42" i="3"/>
  <c r="D227" i="2"/>
  <c r="D23" i="2"/>
  <c r="C43" i="3" l="1"/>
  <c r="A44" i="3"/>
  <c r="D228" i="2"/>
  <c r="D24" i="2"/>
  <c r="C44" i="3" l="1"/>
  <c r="A45" i="3"/>
  <c r="D229" i="2"/>
  <c r="D25" i="2"/>
  <c r="C45" i="3" l="1"/>
  <c r="A46" i="3"/>
  <c r="D230" i="2"/>
  <c r="D26" i="2"/>
  <c r="A47" i="3" l="1"/>
  <c r="C46" i="3"/>
  <c r="D231" i="2"/>
  <c r="D27" i="2"/>
  <c r="A48" i="3" l="1"/>
  <c r="C47" i="3"/>
  <c r="D232" i="2"/>
  <c r="D28" i="2"/>
  <c r="A49" i="3" l="1"/>
  <c r="C48" i="3"/>
  <c r="D233" i="2"/>
  <c r="D29" i="2"/>
  <c r="A50" i="3" l="1"/>
  <c r="C49" i="3"/>
  <c r="D234" i="2"/>
  <c r="D30" i="2"/>
  <c r="A51" i="3" l="1"/>
  <c r="C50" i="3"/>
  <c r="D235" i="2"/>
  <c r="D31" i="2"/>
  <c r="C51" i="3" l="1"/>
  <c r="A52" i="3"/>
  <c r="D236" i="2"/>
  <c r="D32" i="2"/>
  <c r="C52" i="3" l="1"/>
  <c r="A53" i="3"/>
  <c r="D237" i="2"/>
  <c r="D33" i="2"/>
  <c r="C53" i="3" l="1"/>
  <c r="A54" i="3"/>
  <c r="D238" i="2"/>
  <c r="D34" i="2"/>
  <c r="A55" i="3" l="1"/>
  <c r="C54" i="3"/>
  <c r="D239" i="2"/>
  <c r="D35" i="2"/>
  <c r="A56" i="3" l="1"/>
  <c r="C55" i="3"/>
  <c r="D240" i="2"/>
  <c r="D36" i="2"/>
  <c r="A57" i="3" l="1"/>
  <c r="C56" i="3"/>
  <c r="D241" i="2"/>
  <c r="D37" i="2"/>
  <c r="A58" i="3" l="1"/>
  <c r="C57" i="3"/>
  <c r="D242" i="2"/>
  <c r="D38" i="2"/>
  <c r="C58" i="3" l="1"/>
  <c r="D243" i="2"/>
  <c r="D39" i="2"/>
  <c r="D244" i="2" l="1"/>
  <c r="D40" i="2"/>
  <c r="D245" i="2" l="1"/>
  <c r="D41" i="2"/>
  <c r="D246" i="2" l="1"/>
  <c r="D42" i="2"/>
  <c r="D247" i="2" l="1"/>
  <c r="D43" i="2"/>
  <c r="D248" i="2" l="1"/>
  <c r="D44" i="2"/>
  <c r="D249" i="2" l="1"/>
  <c r="D45" i="2"/>
  <c r="D250" i="2" l="1"/>
  <c r="D46" i="2"/>
  <c r="D251" i="2" l="1"/>
  <c r="D47" i="2"/>
  <c r="D252" i="2" l="1"/>
  <c r="D48" i="2"/>
  <c r="D253" i="2" l="1"/>
  <c r="D49" i="2"/>
  <c r="D254" i="2" l="1"/>
  <c r="D50" i="2"/>
  <c r="D255" i="2" l="1"/>
  <c r="D51" i="2"/>
  <c r="D256" i="2" l="1"/>
  <c r="D52" i="2"/>
  <c r="D257" i="2" l="1"/>
  <c r="D53" i="2"/>
  <c r="D258" i="2" l="1"/>
  <c r="D54" i="2"/>
  <c r="D259" i="2" l="1"/>
  <c r="D55" i="2"/>
  <c r="D260" i="2" l="1"/>
  <c r="D56" i="2"/>
  <c r="D261" i="2" l="1"/>
  <c r="D57" i="2"/>
  <c r="D262" i="2" l="1"/>
  <c r="D58" i="2"/>
  <c r="D263" i="2" l="1"/>
  <c r="D59" i="2"/>
  <c r="D264" i="2" l="1"/>
  <c r="D60" i="2"/>
  <c r="D265" i="2" l="1"/>
  <c r="D61" i="2"/>
  <c r="D266" i="2" l="1"/>
  <c r="D62" i="2"/>
  <c r="D267" i="2" l="1"/>
  <c r="D63" i="2"/>
  <c r="D268" i="2" l="1"/>
  <c r="D64" i="2"/>
  <c r="D269" i="2" l="1"/>
  <c r="D65" i="2"/>
  <c r="D270" i="2" l="1"/>
  <c r="D66" i="2"/>
  <c r="D271" i="2" l="1"/>
  <c r="D67" i="2"/>
  <c r="D272" i="2" l="1"/>
  <c r="D68" i="2"/>
  <c r="D273" i="2" l="1"/>
  <c r="D69" i="2"/>
  <c r="D274" i="2" l="1"/>
  <c r="D70" i="2"/>
  <c r="D275" i="2" l="1"/>
  <c r="D71" i="2"/>
  <c r="D276" i="2" l="1"/>
  <c r="D72" i="2"/>
  <c r="D277" i="2" l="1"/>
  <c r="D73" i="2"/>
  <c r="D278" i="2" l="1"/>
  <c r="D74" i="2"/>
  <c r="D279" i="2" l="1"/>
  <c r="D75" i="2"/>
  <c r="D280" i="2" l="1"/>
  <c r="D76" i="2"/>
  <c r="D281" i="2" l="1"/>
  <c r="D77" i="2"/>
  <c r="D282" i="2" l="1"/>
  <c r="D78" i="2"/>
  <c r="D283" i="2" l="1"/>
  <c r="D79" i="2"/>
  <c r="D284" i="2" l="1"/>
  <c r="D80" i="2"/>
  <c r="D285" i="2" l="1"/>
  <c r="D81" i="2"/>
  <c r="D286" i="2" l="1"/>
  <c r="D82" i="2"/>
  <c r="D287" i="2" l="1"/>
  <c r="D83" i="2"/>
  <c r="D288" i="2" l="1"/>
  <c r="D84" i="2"/>
  <c r="D289" i="2" l="1"/>
  <c r="D85" i="2"/>
  <c r="D290" i="2" l="1"/>
  <c r="D86" i="2"/>
  <c r="D291" i="2" l="1"/>
  <c r="D87" i="2"/>
  <c r="D292" i="2" l="1"/>
  <c r="D88" i="2"/>
  <c r="D293" i="2" l="1"/>
  <c r="D89" i="2"/>
  <c r="D295" i="2" l="1"/>
  <c r="D294" i="2"/>
  <c r="D90" i="2"/>
  <c r="D91" i="2" l="1"/>
  <c r="D92" i="2" l="1"/>
  <c r="D93" i="2" l="1"/>
  <c r="D94" i="2" l="1"/>
  <c r="D95" i="2" l="1"/>
  <c r="D96" i="2" l="1"/>
  <c r="D97" i="2" l="1"/>
  <c r="D98" i="2" l="1"/>
  <c r="D99" i="2" l="1"/>
  <c r="D100" i="2" l="1"/>
  <c r="D101" i="2" l="1"/>
  <c r="D102" i="2" l="1"/>
  <c r="D103" i="2" l="1"/>
  <c r="D104" i="2" l="1"/>
  <c r="D105" i="2" l="1"/>
  <c r="D106" i="2" l="1"/>
  <c r="D107" i="2" l="1"/>
  <c r="D108" i="2" l="1"/>
  <c r="D109" i="2" l="1"/>
  <c r="D110" i="2" l="1"/>
  <c r="D111" i="2" l="1"/>
  <c r="D112" i="2" l="1"/>
  <c r="D113" i="2" l="1"/>
  <c r="D114" i="2" l="1"/>
  <c r="D115" i="2" l="1"/>
  <c r="D116" i="2" l="1"/>
  <c r="D117" i="2" l="1"/>
  <c r="D118" i="2" l="1"/>
  <c r="D119" i="2" l="1"/>
  <c r="D120" i="2" l="1"/>
</calcChain>
</file>

<file path=xl/sharedStrings.xml><?xml version="1.0" encoding="utf-8"?>
<sst xmlns="http://schemas.openxmlformats.org/spreadsheetml/2006/main" count="3473" uniqueCount="1480">
  <si>
    <t>Domingo 1º de Adviento</t>
  </si>
  <si>
    <t>Tiempo</t>
  </si>
  <si>
    <t>Isaías  2, 1-5</t>
  </si>
  <si>
    <t>Primera Lectura</t>
  </si>
  <si>
    <t>Salmo responsorial</t>
  </si>
  <si>
    <t>Segunda Lectura</t>
  </si>
  <si>
    <t>Sal 84,8</t>
  </si>
  <si>
    <t xml:space="preserve">Aleluya </t>
  </si>
  <si>
    <t>Evangelio</t>
  </si>
  <si>
    <t>Mateo 24, 37-44</t>
  </si>
  <si>
    <t>Romanos 13, 11-14a</t>
  </si>
  <si>
    <t>Salmo 121, 1-2. 4-5. 6-7. 8-9</t>
  </si>
  <si>
    <t>Isaías: 11, 1-10</t>
  </si>
  <si>
    <t>Domingo 2º de Adviento</t>
  </si>
  <si>
    <t>Salmo 71, 1-2. 7-8. 12-13. 17</t>
  </si>
  <si>
    <t>Romanos: 15, 4-9</t>
  </si>
  <si>
    <t>Lc 3,4.6</t>
  </si>
  <si>
    <t>Mateo: 3, 1-12</t>
  </si>
  <si>
    <t>Isaías 35, 1-6a. 10</t>
  </si>
  <si>
    <t>Domingo 3º de Adviento</t>
  </si>
  <si>
    <t>Salmo 145, 7. 8-9a. 9bc-10</t>
  </si>
  <si>
    <t>Santiago 5, 7-10</t>
  </si>
  <si>
    <t>Lc 4, 18</t>
  </si>
  <si>
    <t>Mateo 11, 2-11</t>
  </si>
  <si>
    <t>Domingo 4º de Adviento</t>
  </si>
  <si>
    <t>Isaías 7, 10-14</t>
  </si>
  <si>
    <t>Salmo 23, 1-2. 3-4ab. 5-6</t>
  </si>
  <si>
    <t>Romanos 1, 1-7</t>
  </si>
  <si>
    <t>Mt 1, 23</t>
  </si>
  <si>
    <t>Mateo 1, 18-24</t>
  </si>
  <si>
    <t>Ciclo</t>
  </si>
  <si>
    <t>A</t>
  </si>
  <si>
    <t>A,B,C</t>
  </si>
  <si>
    <t>Natividad del Señor - Misa de la vigilia</t>
  </si>
  <si>
    <t>Isaías 62, 1-5</t>
  </si>
  <si>
    <t>Salmo 88, 4-5. 16-17. 27 y 29</t>
  </si>
  <si>
    <t>Hechos de los apóstoles 13, 16-17. 22-25</t>
  </si>
  <si>
    <t>Mateo 1, 1-25</t>
  </si>
  <si>
    <t>Mañana quedará borrada la maldad de la tierra,
y será nuestro rey el Salvador del mundo</t>
  </si>
  <si>
    <t>Mateo 1, 18-25</t>
  </si>
  <si>
    <t>Natividad del Señor - Misa de medianoche</t>
  </si>
  <si>
    <t>Isaías 9, 1-3. 5-6</t>
  </si>
  <si>
    <t>Salmo 95, 1-2a. 2b-3. 11-12. 13</t>
  </si>
  <si>
    <t>Tito 2, 11-14</t>
  </si>
  <si>
    <t>Lc 2, 10-11</t>
  </si>
  <si>
    <t>Lucas 2, 1-14</t>
  </si>
  <si>
    <t>Natividad del Señor - Misa de la aurora</t>
  </si>
  <si>
    <t>Isaías 62, 11-12</t>
  </si>
  <si>
    <t>Salmo 96, 1 y 6. 11-12</t>
  </si>
  <si>
    <t>Pablo a Tito 3, 4-7</t>
  </si>
  <si>
    <t>Lc 2, 14</t>
  </si>
  <si>
    <t>Lucas 2, 15-20</t>
  </si>
  <si>
    <t>Natividad del Señor - Misa del día</t>
  </si>
  <si>
    <t>Isaías 52, 7-10</t>
  </si>
  <si>
    <t>Salmo 97, 1. 2-3ab. 3cd-4. 5-6</t>
  </si>
  <si>
    <t>Hebreos 1, 1-6</t>
  </si>
  <si>
    <t>Nos ha amanecido un día sagrado;
venid, naciones, adorad al Señor,
porque hoy una gran luz ha bajado a la tierra.</t>
  </si>
  <si>
    <t>Juan 1, 1-18</t>
  </si>
  <si>
    <t>Juan 1, 1-5. 9-14</t>
  </si>
  <si>
    <t>La Sagrada Familia</t>
  </si>
  <si>
    <t>Sirácida 3, 2-6. 12-14</t>
  </si>
  <si>
    <t>Salmo 127, 1-2. 3. 4-5</t>
  </si>
  <si>
    <t>Colosenses 3, 12-21</t>
  </si>
  <si>
    <t>Col 3, 15a. 16a</t>
  </si>
  <si>
    <t>Mateo 2, 13-15. 19-23</t>
  </si>
  <si>
    <t>Números 6, 22-27</t>
  </si>
  <si>
    <t>1 Enero</t>
  </si>
  <si>
    <t>Santa María Madre de Dios</t>
  </si>
  <si>
    <t>Salmo 66, 2-3. 5. 6 y 8</t>
  </si>
  <si>
    <t>Gálatas 4, 4-7</t>
  </si>
  <si>
    <t>Hb 1, 1-2</t>
  </si>
  <si>
    <t>Lucas 2, 16-21</t>
  </si>
  <si>
    <t>2º Domingo después de Navidad</t>
  </si>
  <si>
    <t>Sirácida 24. 1-2. 8-12</t>
  </si>
  <si>
    <t>Salmo 147, 12-13. 14-15. 19-20</t>
  </si>
  <si>
    <t>Efesios 1, 3-6. 15-18</t>
  </si>
  <si>
    <t>1Tm 3, 16</t>
  </si>
  <si>
    <t>Epifanía del Señor</t>
  </si>
  <si>
    <t>A,B,C 6 Enero</t>
  </si>
  <si>
    <t>Isaías 60, 1-6</t>
  </si>
  <si>
    <t>Salmo 71, 1-2. 7-8. 10-11. 12-13</t>
  </si>
  <si>
    <t>Efesios 3, 2-3a. 5-6</t>
  </si>
  <si>
    <t>Mateo 2, 1-12</t>
  </si>
  <si>
    <t>El Bautismo del Señor</t>
  </si>
  <si>
    <t>Isaías 42, 1-4. 6-7</t>
  </si>
  <si>
    <t>Salmo 28, 1a y 2. 3ac-4. 3b y 9b-10</t>
  </si>
  <si>
    <t>Hechos de los apóstoles 10, 34-38</t>
  </si>
  <si>
    <t>Mc 9, 7</t>
  </si>
  <si>
    <t>Mateo 3, 13-17</t>
  </si>
  <si>
    <t>Primer domingo de Cuaresma</t>
  </si>
  <si>
    <t>Génesis 2, 7-9; 3, 1-7</t>
  </si>
  <si>
    <t>Salmo 50, 3-4. 5-6a. 12-13. 14 y 17</t>
  </si>
  <si>
    <t>Romanos 5, 12-19 / Romanos 5, 12. 17-19</t>
  </si>
  <si>
    <t>My 2, 2</t>
  </si>
  <si>
    <t>Mt 4, 4</t>
  </si>
  <si>
    <t>Mateo 4, 1-11</t>
  </si>
  <si>
    <t>Segundo domingo de Cuaresma</t>
  </si>
  <si>
    <t>Génesis 12, 1-4</t>
  </si>
  <si>
    <t>Salmo 32, 4-5. 18-19. 20 y 22</t>
  </si>
  <si>
    <t>Timoteo 1, 8b-10</t>
  </si>
  <si>
    <t>En el esplendor de la nube se oyó la voz del Padre:
«Éste es mi Hijo, el amado; escuchadlo».</t>
  </si>
  <si>
    <t>Mateo 17, 1-9</t>
  </si>
  <si>
    <t>Tercer domingo de Cuaresma</t>
  </si>
  <si>
    <t>Éxodo 17, 3-7</t>
  </si>
  <si>
    <t>Salmo 94, 1-2. 6-7. 8-9</t>
  </si>
  <si>
    <t>Romanos 5, 1-2. 5-8</t>
  </si>
  <si>
    <t>Jn 4, 42. 15</t>
  </si>
  <si>
    <t>Juan 4, 5-42</t>
  </si>
  <si>
    <t>Juan 4, 5-15. 19b-26. 39a. 40-42</t>
  </si>
  <si>
    <t>Cuarto domingo de Cuaresma</t>
  </si>
  <si>
    <t>Samuel 16, 1b. 6-7. 10-13a</t>
  </si>
  <si>
    <t>Salmo 22, 1-3a. 3b-4. 5. 6</t>
  </si>
  <si>
    <t>Efesios 5, 8-14</t>
  </si>
  <si>
    <t>Jn 8,2b</t>
  </si>
  <si>
    <t>Juan 9, 1-41</t>
  </si>
  <si>
    <t>Juan 9, 1. 6-9. 13-17. 34-38</t>
  </si>
  <si>
    <t>Quinto domingo de Cuaresma</t>
  </si>
  <si>
    <t>Ezequiel 37, 12-14</t>
  </si>
  <si>
    <t>Salmo 129, 1-2. 3-4ab. 4c-6. 7-8</t>
  </si>
  <si>
    <t>Romanos 8, 8-11</t>
  </si>
  <si>
    <t>Jn 11, 25a. 26</t>
  </si>
  <si>
    <t>Juan 11, 1-45</t>
  </si>
  <si>
    <t>Juan 11, 3-7. 17. 20-27. 33b-45</t>
  </si>
  <si>
    <t>Domingo de ramos</t>
  </si>
  <si>
    <t>Mateo 21, 1-11        Isaías 50, 4-7</t>
  </si>
  <si>
    <t>Salmo 21, 8-9. 17-18a. 19-20. 23-24</t>
  </si>
  <si>
    <t>Filipenses 2, 6-11</t>
  </si>
  <si>
    <t>Flp 2, 8-9</t>
  </si>
  <si>
    <t>Mateo 26, 14—27, 66</t>
  </si>
  <si>
    <t>Jueves santo</t>
  </si>
  <si>
    <t>Éxodo 12, 1-8. 11-14</t>
  </si>
  <si>
    <t>Salmo 115, 12-13. 15-16bc. 17-18</t>
  </si>
  <si>
    <t>Corintios 11, 23-26</t>
  </si>
  <si>
    <t>Jn 13, 34</t>
  </si>
  <si>
    <t>Juan 13, 1-15</t>
  </si>
  <si>
    <t>Viernes santo</t>
  </si>
  <si>
    <t>Isaías 52, 13—53, 12</t>
  </si>
  <si>
    <t>Salmo 30, 2 y 6. 12-13. 15-16. 17 y 25</t>
  </si>
  <si>
    <t>Hebreos 4, 14-16; 5, 7-9</t>
  </si>
  <si>
    <t>Juan 18, 1—19, 42</t>
  </si>
  <si>
    <t>Vigilia Pascual</t>
  </si>
  <si>
    <t>1
Génesis 1, 1—2, 2 / Génesis 1, 1. 26-31a
Salmo 103, 1-2a. 5-6. 10 y 12. 13-14. 24 y 35a / Salmo 32, 4-5. 6-7. 12-13. 20 y 22
2
Génesis 22, 1-18 / Génesis 22, 1-2. 9a. 10-13. 15-18
Salmo 15, 5 y 8. 9-10. 11
3
Éxodo 14, 15—15, 1 / 
Salmo Éxodo 15, 1-2. 3-4. 5-6. 17-18
4
Isaías 54, 5-14
Salmo  29, 2 y 4. 5-6. 11 y 12a y 13b
5
Isaías 55, 1-11
salmo Isaías 12, 2-3. 4. 5-6
6
Baruc 3, 9-15. 32—4,4
Salmo 18, 8. 9. 10, 11
7
Ezequiel 36, 16-28
Salmo 41, 3. 5bcd; 42, 3. 4 / Isaías 12, 2-3. 4. 5-6 / Salmo 50, 12-13. 14-15. 18-19
8
Romanos 6, 3-11
Salmo 117, 1-2. 16ab-17. 22-23
Ev.
Mateo 28, 1-10</t>
  </si>
  <si>
    <t>Domingo de Pascua</t>
  </si>
  <si>
    <t>Hechos de los apóstoles 10, 34a. 37-43</t>
  </si>
  <si>
    <t>Salmo 117, 1-2. 16ab-17. 22-23</t>
  </si>
  <si>
    <t>Colosenses 3, 1-4 / Corintios 5, 6b-8</t>
  </si>
  <si>
    <t>1Cor 5, 7b-8a</t>
  </si>
  <si>
    <t>Juan 20, 1-9</t>
  </si>
  <si>
    <t>Segundo domingo de Pascua</t>
  </si>
  <si>
    <t>Hechos de los apóstoles 2, 42-47</t>
  </si>
  <si>
    <t>Salmo 117, 2-4. 13-15. 22-24</t>
  </si>
  <si>
    <t>Jn 20, 29</t>
  </si>
  <si>
    <t>Juan 20, 19-31</t>
  </si>
  <si>
    <t>Hechos de los apóstoles 2, 14. 22-33</t>
  </si>
  <si>
    <t>Salmo 15, 1-2a y 5. 7-8. 9-10. 11</t>
  </si>
  <si>
    <t>Tercer domingo de Pascua</t>
  </si>
  <si>
    <t>Pedro 1, 17-21</t>
  </si>
  <si>
    <t>Pedro: 1, 3-9</t>
  </si>
  <si>
    <t>Lc 24, 32</t>
  </si>
  <si>
    <t>Lucas 24, 13-35</t>
  </si>
  <si>
    <t>Cuarto domingo de Pascua</t>
  </si>
  <si>
    <t>Hechos de los apóstoles 2, 14a. 36-41</t>
  </si>
  <si>
    <t>Pedro 2, 20b-25</t>
  </si>
  <si>
    <t>Jn 10, 14</t>
  </si>
  <si>
    <t>Juan 10, 1-10</t>
  </si>
  <si>
    <t>Quinto domingo de Pascua</t>
  </si>
  <si>
    <t>Hechos de los apóstoles 6, 1-7</t>
  </si>
  <si>
    <t>Salmo 32, 1-2. 4-5. 18-19</t>
  </si>
  <si>
    <t>Pedro 2, 4-9</t>
  </si>
  <si>
    <t>Jn 14, 6</t>
  </si>
  <si>
    <t>Juan 14, 1-12</t>
  </si>
  <si>
    <t>Sexto domingo de Pascua</t>
  </si>
  <si>
    <t>Hechos de los apóstoles 8, 5-8. 14-17</t>
  </si>
  <si>
    <t>Salmo 65, 1-3a. 4-5. 6-7a. 16 y 20</t>
  </si>
  <si>
    <t>Pedro 3, 15-18</t>
  </si>
  <si>
    <t>Jn 14, 23</t>
  </si>
  <si>
    <t>Juan 14, 15-21</t>
  </si>
  <si>
    <t>Pedro 4, 13-16</t>
  </si>
  <si>
    <t>Séptimo domingo de Pascua</t>
  </si>
  <si>
    <t>Jn 14, 18</t>
  </si>
  <si>
    <t>La Ascensión del Señor</t>
  </si>
  <si>
    <t>Hechos de los apóstoles 1, 1-11</t>
  </si>
  <si>
    <t>Salmo 46, 2-3. 6-7. 8-9</t>
  </si>
  <si>
    <t>Efesios 1, 17-23</t>
  </si>
  <si>
    <t>Mt 28, 19.20</t>
  </si>
  <si>
    <t>Mateo 28, 16-20</t>
  </si>
  <si>
    <t>Hechos de los apóstoles 1, 12-14</t>
  </si>
  <si>
    <t>Salmo 26, 1. 4. 7-8</t>
  </si>
  <si>
    <t>Juan 17, 1-11</t>
  </si>
  <si>
    <t>Génesis 11, 1-9 / Éxodo 19, 3-8a. 16-20b / Ezequiel 37, 1-14 / Joel 3, 1-5</t>
  </si>
  <si>
    <t>Romanos 8, 22-27</t>
  </si>
  <si>
    <t>Salmo 103, 1-2a. 24. 27-28. 29bc-30</t>
  </si>
  <si>
    <t>Juan 7, 37-39</t>
  </si>
  <si>
    <t>Ven, Espíritu Santo,
llena los corazones de tus fieles
y enciende en ellos la llama de tu amor</t>
  </si>
  <si>
    <t>Domingo de Pentecostés - Vigilia</t>
  </si>
  <si>
    <t>Domingo de Pentecostés - Misa del día</t>
  </si>
  <si>
    <t>Hechos de los apóstoles: 2, 1-11</t>
  </si>
  <si>
    <t>Salmo 103, 1ab y 24ac. 29bc-30. 31 y 34</t>
  </si>
  <si>
    <t>Corintios 12, 3b-7. 12-13</t>
  </si>
  <si>
    <t>Juan 20, 19-23</t>
  </si>
  <si>
    <t>Ven, Espíritu Santo,
llena los corazones de tus fieles
y enciende en ellos la llama de tu amor.</t>
  </si>
  <si>
    <t>La Santísima Trinidad</t>
  </si>
  <si>
    <t>Éxodo: 34, 4b-6. 8-9</t>
  </si>
  <si>
    <t>Daniel 3, 52. 53. 54. 55. 56</t>
  </si>
  <si>
    <t>Corintios 13, 11-13</t>
  </si>
  <si>
    <t>Ap 1, 8</t>
  </si>
  <si>
    <t>Juan 3,1 6-18</t>
  </si>
  <si>
    <t>Deuteronomio 8, 2-3. 14b-16a</t>
  </si>
  <si>
    <t>Santísimo Cuerpo y Sangre de Cristo</t>
  </si>
  <si>
    <t>Domingo después de la Santísima Trinidad</t>
  </si>
  <si>
    <t>Corintios 10, 16-17</t>
  </si>
  <si>
    <t>Jn 6, 51</t>
  </si>
  <si>
    <t>Juan 6, 51-58</t>
  </si>
  <si>
    <t>El sagrado Corazón de Jesús</t>
  </si>
  <si>
    <t>Viernes posterior al segundo domingo después de Pentecostés</t>
  </si>
  <si>
    <t>Deuteronomio 7, 6-11</t>
  </si>
  <si>
    <t>Salmo 102. 1-2. 3-4. 6-7. 8 y 10</t>
  </si>
  <si>
    <t>Juan 4, 7-16</t>
  </si>
  <si>
    <t>Mt 11, 29ab</t>
  </si>
  <si>
    <t>Mateo 11, 25-30</t>
  </si>
  <si>
    <t>Domingo de la 2ª semana de Tiempo Ordinario</t>
  </si>
  <si>
    <t>Lectura del libro de Isaías 49, 3. 5-6</t>
  </si>
  <si>
    <t>Salmo responsorial: Salmo 39, 2 y 4ab, 7-8a. 8b-9. 10 (R.: 8a y 9a)</t>
  </si>
  <si>
    <t>Comienzo de la primera carta del apóstol san Pablo a los Corintios 1, 1-3</t>
  </si>
  <si>
    <t>Aleluya Jn 1, 14. 12b</t>
  </si>
  <si>
    <t>Domingo de la 3ª semana de Tiempo Ordinario</t>
  </si>
  <si>
    <t>Lectura del libro de Isaías 8, 23b—9, 3</t>
  </si>
  <si>
    <t>Salmo responsorial: Salmo 26, 1. 4. 13-14 (R.: 1a)</t>
  </si>
  <si>
    <t>Lectura de la primera carta del apóstol san Pablo a los Corintios 1, 10-13. 17</t>
  </si>
  <si>
    <t>Aleluya Mt 4, 23</t>
  </si>
  <si>
    <t>Juan 1, 29-34</t>
  </si>
  <si>
    <t>Mateo 4, 12-23</t>
  </si>
  <si>
    <t>Mateo 4, 12-17</t>
  </si>
  <si>
    <t>Domingo de la 4ª semana de Tiempo Ordinario</t>
  </si>
  <si>
    <t>Lectura de la profecía de Sofonías 2, 3; 3, 12-13</t>
  </si>
  <si>
    <t>Salmo responsorial: Salmo 145, 7. 8-9a. 9bc-10 (R.: Mt 5, 13)</t>
  </si>
  <si>
    <t>Lectura de la primera carta del apóstol san Pablo a los Corintios 1, 26-31</t>
  </si>
  <si>
    <t>Aleluya Mt 5, 12a</t>
  </si>
  <si>
    <t>Domingo de la 5ª semana de Tiempo Ordinario</t>
  </si>
  <si>
    <t>Lectura del libro de Isaías 58, 7-10</t>
  </si>
  <si>
    <t>Salmo responsorial: Salmo 111, 4-5. 6-7. 8a y 9 (R.: 4a)</t>
  </si>
  <si>
    <t>Lectura de la primera carta del apóstol san Pablo a los Corintios 2, 1-5</t>
  </si>
  <si>
    <t>Aleluya Jn 8, 12b</t>
  </si>
  <si>
    <t>Domingo de la 6ª semana de Tiempo Ordinario</t>
  </si>
  <si>
    <t>Lectura del libro de Sirácida 15, 16-21</t>
  </si>
  <si>
    <t>Salmo responsorial: Salmo 118, 1-2. 4-5. 17-18. 33-34 (R.: 1b)</t>
  </si>
  <si>
    <t>Lectura de la primera carta del apóstol san Pablo a los Corintios 2, 6-10</t>
  </si>
  <si>
    <t>Aleluya Mt 11, 25</t>
  </si>
  <si>
    <t>Domingo de la 7ª semana de Tiempo Ordinario</t>
  </si>
  <si>
    <t>Lectura del libro del Levítico  19, 1-2. 17-18</t>
  </si>
  <si>
    <t>Salmo responsorial: Salmo 102, 1-2. 3-4. 8 y 10. 12-13 (R.: 8a)</t>
  </si>
  <si>
    <t>Lectura de la primera carta del apóstol san Pablo a los Corintios 3, 16-23</t>
  </si>
  <si>
    <t>Aleluya 1Jn 2, 5</t>
  </si>
  <si>
    <t>Domingo de la 8ª semana de Tiempo Ordinario</t>
  </si>
  <si>
    <t>Lectura del libro de Isaías 49, 14-15</t>
  </si>
  <si>
    <t>Salmo responsorial: 61, 2-3. 6-7. 8-9ab (R.: 6a)</t>
  </si>
  <si>
    <t>Lectura de la primera carta del apóstol san Pablo a los Corintios 4, 1-5</t>
  </si>
  <si>
    <t>Aleluya Hb 4, 12</t>
  </si>
  <si>
    <t>Domingo de la 9ª semana de Tiempo Ordinario</t>
  </si>
  <si>
    <t>Lectura del libro del Deuteronomio 11, 18. 26-28. 32</t>
  </si>
  <si>
    <t>Salmo responsorial: Salmo 30, 2-3a. 3bc-4. 17 y 25 (R.: 3b)</t>
  </si>
  <si>
    <t>Lectura de la carta del apóstol san Pablo a los Romanos 3, 21-25a. 28</t>
  </si>
  <si>
    <t>Aleluya Jn 15, 5</t>
  </si>
  <si>
    <t>Domingo de la 10ª semana de Tiempo Ordinario</t>
  </si>
  <si>
    <t>Lectura de la profecía de Oseas 6, 3-6</t>
  </si>
  <si>
    <t>Salmo responsorial: Salmo 49, 1 y 8. 12-13. 14-15 (R.: 23b)</t>
  </si>
  <si>
    <t>Lectura de la carta del apóstol san Pablo a los Romanos 4, 18-25</t>
  </si>
  <si>
    <t>Aleluya Lc 4, 18</t>
  </si>
  <si>
    <t>Domingo de la 11ª semana de Tiempo Ordinario</t>
  </si>
  <si>
    <t>Lectura del libro del Éxodo 19, 2-6a</t>
  </si>
  <si>
    <t>Salmo responsorial: Salmo 99, 2. 3. 5 (R.: 3c)</t>
  </si>
  <si>
    <t>Lectura de la carta del apóstol san Pablo a los Romanos 5, 6-11</t>
  </si>
  <si>
    <t>Aleluya Mc 1, 15</t>
  </si>
  <si>
    <t>Domingo de la 12ª semana de Tiempo Ordinario</t>
  </si>
  <si>
    <t>Lectura del libro de Jeremías 20, 10-13</t>
  </si>
  <si>
    <t>Salmo responsorial: Salmo 68, 8-10. 14 y 17. 33-35 (R.: 14c)</t>
  </si>
  <si>
    <t>Lectura de la carta del apóstol san Pablo a los Romanos 5, 12-15</t>
  </si>
  <si>
    <t>Aleluya Jn 15, 26b. 27a</t>
  </si>
  <si>
    <t>Domingo de la 13ª semana de Tiempo Ordinario</t>
  </si>
  <si>
    <t>Lectura del segundo libro de los Reyes 4, 8-11. 14-16a</t>
  </si>
  <si>
    <t>Salmo responsorial: Salmo 88, 2-3. 16-17. 18-19 (R.: 2a)</t>
  </si>
  <si>
    <t>Lectura de la carta del apóstol san Pablo a los Romanos 6, 3-4. 8-11</t>
  </si>
  <si>
    <t>Aleluya 1P 2, 9</t>
  </si>
  <si>
    <t>Domingo de la 14ª semana de Tiempo Ordinario</t>
  </si>
  <si>
    <t>Lectura de la profecía de Zacarías 9, 9-10</t>
  </si>
  <si>
    <t>Salmo responsorial: Salmo 144, 1-2. 8-9. 10-11. 13cd-14 (R.: cf. 1)</t>
  </si>
  <si>
    <t>Lectura de la carta del apóstol san Pablo a los Romanos 8, 9. 11-13</t>
  </si>
  <si>
    <t>Aleluya Cf. Mt 11, 25</t>
  </si>
  <si>
    <t>Lectura del libro de Isaías 55, 10-11</t>
  </si>
  <si>
    <t>Salmo responsorial: Salmo 64, 10. 11. 12-13. 14 (R.: Lc 8, 8)</t>
  </si>
  <si>
    <t>Lectura de la carta del apóstol san Pablo a los Romanos 8, 18-23</t>
  </si>
  <si>
    <t>La semilla es la palabra de Dios, el sembrador es Cristo;
quien lo encuentra vive para siempre.</t>
  </si>
  <si>
    <t>Lectura del libro de la Sabiduría: 12, 13. 16-19</t>
  </si>
  <si>
    <t>Salmo responsorial: Salmo 85, 5-6. 9-10. 15-16a (R.: 5a)</t>
  </si>
  <si>
    <t>Lectura de la carta del apóstol san Pablo a los Romanos 8, 26-27</t>
  </si>
  <si>
    <t>Lectura del primer libro de los Reyes 3, 5. 7-12</t>
  </si>
  <si>
    <t>Salmo responsorial: Salmo 118, 57 y 72. 76-77. 127-128. 129-130 (R.: 97a)</t>
  </si>
  <si>
    <t>Lectura de la carta del apóstol san Pablo a los Romanos 8, 28-30</t>
  </si>
  <si>
    <t>Lectura del libro de Isaías 55, 1-3</t>
  </si>
  <si>
    <t>Salmo responsorial: Salmo 144, 8-9. 15-16. 17-18 (R.: cf. 16)</t>
  </si>
  <si>
    <t>Lectura de la carta del apóstol san Pablo a los Romanos 8, 35. 37-39</t>
  </si>
  <si>
    <t>Aleluya Mt 4, 4b</t>
  </si>
  <si>
    <t>Lectura del primer libro de los Reyes 19, 9a. 11-13a</t>
  </si>
  <si>
    <t>Salmo responsorial: Salmo 84, 9ab-10. 11-12. 13-14 (R.: 8)</t>
  </si>
  <si>
    <t>Lectura de la carta del apóstol san Pablo a los Romanos 9, 1-5</t>
  </si>
  <si>
    <t>Aleluya Cf. Sal 129, 5</t>
  </si>
  <si>
    <t>Lectura del libro de Isaías 56, 1. 6-7</t>
  </si>
  <si>
    <t>Salmo responsorial: Salmo 66, 2-3. 5. 6 y 8 (R.: 4)</t>
  </si>
  <si>
    <t>Lectura de la carta del apóstol san Pablo a los Romanos 11, 13-15. 29-32</t>
  </si>
  <si>
    <t>Lectura del libro de Isaías 22, 19-23</t>
  </si>
  <si>
    <t>Salmo responsorial: Salmo 137, 1-2a. 2bc-3. 6 y 8bc (R.: 8bc)</t>
  </si>
  <si>
    <t>Lectura de la carta del apóstol san Pablo a los Romanos 11, 33-36</t>
  </si>
  <si>
    <t>Aleluya Mt 16, 18</t>
  </si>
  <si>
    <t>Lectura del libro de Jeremías 20, 7-9</t>
  </si>
  <si>
    <t>Salmo responsorial: Salmo 62, 2. 3-4. 5-6. 8-9 (R.:2b)</t>
  </si>
  <si>
    <t>Lectura de la carta del apóstol san Pablo a los Romanos 12, 1-2</t>
  </si>
  <si>
    <t>Aleluya Cf. Ef 1, 17-18</t>
  </si>
  <si>
    <t>Lectura de la profecía de Ezequiel 33, 7-9</t>
  </si>
  <si>
    <t>Salmo responsorial: Salmo 94, 1-2. 6-7. 8-9 (R.: 8)</t>
  </si>
  <si>
    <t>Lectura de la carta del apóstol san Pablo a los Romanos 13, 8-10</t>
  </si>
  <si>
    <t>Aleluya 2Co 5, 19</t>
  </si>
  <si>
    <t>Lectura del libro de Sirácida 27, 33—28, 9</t>
  </si>
  <si>
    <t>Salmo responsorial: Salmo 102, 1-2. 3-4. 9-10. 11-12 (R.: 8)</t>
  </si>
  <si>
    <t>Lectura de la carta del apóstol san Pablo a los Romanos 14, 7-9</t>
  </si>
  <si>
    <t>Aleluya Jn 13, 34</t>
  </si>
  <si>
    <t>Lectura del libro de Isaías 55, 6-9</t>
  </si>
  <si>
    <t>Salmo responsorial: Salmo 144, 2-3. 8-9. 17-18 (R.: 18a)</t>
  </si>
  <si>
    <t>Lectura de la carta del apóstol san Pablo a los Filipenses 1, 20c-24. 27a</t>
  </si>
  <si>
    <t>Aleluya Cf. Hch 16, 14b</t>
  </si>
  <si>
    <t>Lectura de la profecía de Ezequiel 18, 25-28</t>
  </si>
  <si>
    <t>Salmo responsorial: Salmo 24, 4bc-5. 6-7. 8-9 (R.: 6a)</t>
  </si>
  <si>
    <t xml:space="preserve">Lectura de la carta del apóstol san Pablo a los Filipenses 2, 1-11 / Lectura de la carta del apóstol san Pablo a los Filipenses 2, 1-5
</t>
  </si>
  <si>
    <t>Aleluya Jn 10, 27</t>
  </si>
  <si>
    <t>Lectura del libro de Isaías: 5, 1-7</t>
  </si>
  <si>
    <t>Salmo responsorial: Salmo 79, 9 y 12. 13-14. 15-16. 19-20 (R.: Is 5,71)</t>
  </si>
  <si>
    <t>Lectura de la carta del apóstol san Pablo a los Filipenses 4, 6-9</t>
  </si>
  <si>
    <t>Aleluya Cf. Jn 15, 16</t>
  </si>
  <si>
    <t>Lectura del libro de Isaías 25, 6-10a</t>
  </si>
  <si>
    <t>Salmo responsorial: Salmo 22, 1-3a. 3b-4. 5. 6 (R.: 6cd)</t>
  </si>
  <si>
    <t>Lectura de la carta del apóstol san Pablo a los Filipenses 4, 12-14. 19-20</t>
  </si>
  <si>
    <t>Lectura del libro de Isaías 45, 1. 4-6</t>
  </si>
  <si>
    <t>Salmo responsorial: Salmo 95, 1 y 3. 4-5. 7-8. 9-10a y c (R.: 7b)</t>
  </si>
  <si>
    <t>Lectura de la primera carta del apóstol san Pablo a los Tesalonicenses 1, 1-5b</t>
  </si>
  <si>
    <t>Aleluya Flp 2, 15d. 16a</t>
  </si>
  <si>
    <t>Lectura del libro del Éxodo 22, 20-26</t>
  </si>
  <si>
    <t>Salmo responsorial: Salmo 17, 2-3a. 3bc-4. 47 y 51ab (R.: 2)</t>
  </si>
  <si>
    <t>Lectura de la primera carta del apóstol san Pablo a los Tesalonicenses 1, 5c-10</t>
  </si>
  <si>
    <t>Aleluya Jn 14, 23</t>
  </si>
  <si>
    <t>Lectura de la profecía de Malaquías 1, 14b—2, 2b. 8-10</t>
  </si>
  <si>
    <t>Salmo responsorial: Salmo 130, 1. 2. 3</t>
  </si>
  <si>
    <t>Lectura de la primera carta del apóstol san Pablo a los Tesalonicenses 2, 7b-9. 13</t>
  </si>
  <si>
    <t>Aleluya Mt 23, 9b. 10b</t>
  </si>
  <si>
    <t>Lectura del libro de la Sabiduría 6, 12-16</t>
  </si>
  <si>
    <t>Salmo responsorial: Salmo 62, 2. 3-4. 5-6. 7-8 (R.: 2b)</t>
  </si>
  <si>
    <t>Lectura de la primera carta del apóstol san Pablo a los Tesalonicenses 4, 13-18</t>
  </si>
  <si>
    <t>Aleluya Mt 24, 42a. 44</t>
  </si>
  <si>
    <t>Lectura del libro de los Proverbios 31, 10-13. 19-20. 30-31</t>
  </si>
  <si>
    <t>Salmo responsorial: Salmo 127, 1-2. 3. 4-5 (R.: 1a)</t>
  </si>
  <si>
    <t>Lectura de la primera carta del apóstol san Pablo a los Tesalonicenses 5, 1-6</t>
  </si>
  <si>
    <t>Aleluya Jn 15, 4a. 5b</t>
  </si>
  <si>
    <t>Lectura de la profecía de Ezequiel 34, 11-12. 15-17</t>
  </si>
  <si>
    <t>Salmo responsorial: 22, 1-2a. 2b-3. 5-6 (R.: 1)</t>
  </si>
  <si>
    <t>Lectura de la primera carta del apóstol san Pablo a los Corintios 15, 20-26. 28</t>
  </si>
  <si>
    <t>Aleluya Mc 11, 9b-10a</t>
  </si>
  <si>
    <t>Domingo de la 15ª semana de Tiempo Ordinario</t>
  </si>
  <si>
    <t>Domingo de la 16ª semana de Tiempo Ordinario</t>
  </si>
  <si>
    <t>Domingo de la 17ª semana de Tiempo Ordinario</t>
  </si>
  <si>
    <t>Domingo de la 18ª semana de Tiempo Ordinario</t>
  </si>
  <si>
    <t>Domingo de la 19ª semana de Tiempo Ordinario</t>
  </si>
  <si>
    <t>Domingo de la 20ª semana de Tiempo Ordinario</t>
  </si>
  <si>
    <t>Domingo de la 21ª semana de Tiempo Ordinario</t>
  </si>
  <si>
    <t>Domingo de la 22ª semana de Tiempo Ordinario</t>
  </si>
  <si>
    <t>Domingo de la 23ª semana de Tiempo Ordinario</t>
  </si>
  <si>
    <t>Domingo de la 24ª semana de Tiempo Ordinario</t>
  </si>
  <si>
    <t>Domingo de la 25ª semana de Tiempo Ordinario</t>
  </si>
  <si>
    <t>Domingo de la 26ª semana de Tiempo Ordinario</t>
  </si>
  <si>
    <t>Domingo de la 27ª semana de Tiempo Ordinario</t>
  </si>
  <si>
    <t>Domingo de la 28ª semana de Tiempo Ordinario</t>
  </si>
  <si>
    <t>Domingo de la 29ª semana de Tiempo Ordinario</t>
  </si>
  <si>
    <t>Domingo de la 30ª semana de Tiempo Ordinario</t>
  </si>
  <si>
    <t>Domingo de la 31ª semana de Tiempo Ordinario</t>
  </si>
  <si>
    <t>Domingo de la 32ª semana de Tiempo Ordinario</t>
  </si>
  <si>
    <t>Domingo de la 33ª semana de Tiempo Ordinario</t>
  </si>
  <si>
    <t>Domingo de la 34ª semana de Tiempo Ordinario</t>
  </si>
  <si>
    <t>Mateo 5, 1-12a</t>
  </si>
  <si>
    <t>Mateo 5, 13-16</t>
  </si>
  <si>
    <t>Mateo 5, 17-37</t>
  </si>
  <si>
    <t>Mateo 5, 20-22a. 27-28. 33-34a. 37</t>
  </si>
  <si>
    <t>Mateo 5, 38-48</t>
  </si>
  <si>
    <t>Mateo 6, 24-34</t>
  </si>
  <si>
    <t>Mateo 7, 21-27</t>
  </si>
  <si>
    <t>Mateo 9, 9-13</t>
  </si>
  <si>
    <t>Mateo 9, 36—10, 8</t>
  </si>
  <si>
    <t>Mateo 10, 26-33</t>
  </si>
  <si>
    <t>Mateo 10, 37-42</t>
  </si>
  <si>
    <t>Mateo 13, 1-23</t>
  </si>
  <si>
    <t>Mateo 13, 1-9</t>
  </si>
  <si>
    <t>Mateo 13, 24-43</t>
  </si>
  <si>
    <t>Mateo 13, 24-30</t>
  </si>
  <si>
    <t>Mateo 13, 44-52</t>
  </si>
  <si>
    <t>Mateo 13, 44-46</t>
  </si>
  <si>
    <t>Mateo 14, 13-21</t>
  </si>
  <si>
    <t>Mateo 14, 22-33</t>
  </si>
  <si>
    <t>Mateo 16, 13-20</t>
  </si>
  <si>
    <t>Mateo 16, 21-27</t>
  </si>
  <si>
    <t>Mateo 18, 15-20</t>
  </si>
  <si>
    <t>Mateo 18, 21-35</t>
  </si>
  <si>
    <t>Mateo 20, 1-16</t>
  </si>
  <si>
    <t>Mateo 21, 28-32</t>
  </si>
  <si>
    <t>Mateo 21, 33-43</t>
  </si>
  <si>
    <t>Mateo 22, 1-14</t>
  </si>
  <si>
    <t>Mateo 22, 1-10</t>
  </si>
  <si>
    <t>Mateo 22, 15-21</t>
  </si>
  <si>
    <t>Mateo 22, 34-40</t>
  </si>
  <si>
    <t>Mateo 23, 1-12</t>
  </si>
  <si>
    <t>Mateo 25, 1-13</t>
  </si>
  <si>
    <t>Mateo 25, 14-30</t>
  </si>
  <si>
    <t>Mateo 25, 14-15. 19-21</t>
  </si>
  <si>
    <t>Mateo 25, 31-46</t>
  </si>
  <si>
    <t>Mateo 15, 21-28</t>
  </si>
  <si>
    <t>Samuel 1, 1-8</t>
  </si>
  <si>
    <t>Salmo 115, 12-13. 14 y 17. 18-19</t>
  </si>
  <si>
    <t>Mc 1, 15</t>
  </si>
  <si>
    <t>Marcos 1, 14-20</t>
  </si>
  <si>
    <t>martes</t>
  </si>
  <si>
    <t>Samuel 1, 9-20</t>
  </si>
  <si>
    <t>1Samuel 2, 1. 4-5. 6-7. 8</t>
  </si>
  <si>
    <t>1Ts 2, 13</t>
  </si>
  <si>
    <t>Marcos 1, 21-28</t>
  </si>
  <si>
    <t>TO-s1-PAR</t>
  </si>
  <si>
    <t>Lunes</t>
  </si>
  <si>
    <t>Miercoles</t>
  </si>
  <si>
    <t>Jueves</t>
  </si>
  <si>
    <t>Viernes</t>
  </si>
  <si>
    <t>Sabado</t>
  </si>
  <si>
    <t>TO-s2-PAR</t>
  </si>
  <si>
    <t>1 Samuel 3, 1-10. 19-20</t>
  </si>
  <si>
    <t>Salmo 39, 2 y 5. 7-8a. 8b-9. 10</t>
  </si>
  <si>
    <t>Jn 10, 27</t>
  </si>
  <si>
    <t>san Marcos 1, 29-39</t>
  </si>
  <si>
    <t>1 Samuel 4, 1-11</t>
  </si>
  <si>
    <t>Salmo 43, 10-11. 14-15. 24-25</t>
  </si>
  <si>
    <t>Mt 4, 23</t>
  </si>
  <si>
    <t>san Marcos 1, 40-45</t>
  </si>
  <si>
    <t>1 Samuel 8, 4-7. 10-22a</t>
  </si>
  <si>
    <t>Salmo 88, 16-17. 18-19</t>
  </si>
  <si>
    <t>Lc 7, 16</t>
  </si>
  <si>
    <t>Marcos 2, 1-12</t>
  </si>
  <si>
    <t>1 Samuel 9, 1-4. 17-19; 10, 1a</t>
  </si>
  <si>
    <t>Salmo 20, 2-3. 4-5. 6-7</t>
  </si>
  <si>
    <t>Marcos 2, 13-17</t>
  </si>
  <si>
    <t>1 Samuel 1, 1-8</t>
  </si>
  <si>
    <t>1 Samuel 1, 9-20</t>
  </si>
  <si>
    <t>1 Samuel 15, 16-23</t>
  </si>
  <si>
    <t>Salmo 49, 8-9. 16bc-17. 21 y 23</t>
  </si>
  <si>
    <t>Hb 4, 12</t>
  </si>
  <si>
    <t>Marcos 2, 18-22</t>
  </si>
  <si>
    <t>1 Samuel 16, 1-13</t>
  </si>
  <si>
    <t>Salmo 88, 20. 21-22. 27-28</t>
  </si>
  <si>
    <t>Ef 1, 17-18</t>
  </si>
  <si>
    <t>Marcos 2, 23-28</t>
  </si>
  <si>
    <t>1 Samuel 17, 32-33. 37. 40-51</t>
  </si>
  <si>
    <t>Salmo 143, 1. 2. 9-10</t>
  </si>
  <si>
    <t>Marcos 3, 1-6</t>
  </si>
  <si>
    <t>1 Samuel 18, 6-9; 19, 1-7</t>
  </si>
  <si>
    <t>Salmo 55, 2-3. 9-10. 11-12. 13</t>
  </si>
  <si>
    <t>2Tm 1, 10</t>
  </si>
  <si>
    <t>Marcos 3, 7-12</t>
  </si>
  <si>
    <t>1 Samuel 24, 3-21</t>
  </si>
  <si>
    <t>Salmo 56, 2. 3-4. 6 y 11</t>
  </si>
  <si>
    <t>2Co 5, 19</t>
  </si>
  <si>
    <t>Marcos 3, 13-19</t>
  </si>
  <si>
    <t>1 Samuel 1, 1-4. 11-12. 19. 23-27</t>
  </si>
  <si>
    <t>Salmo 79, 2-3. 5-7</t>
  </si>
  <si>
    <t>Hch 16, 14</t>
  </si>
  <si>
    <t>Marcos 3, 20-21</t>
  </si>
  <si>
    <t>2 Samuel 5, 1-7. 10</t>
  </si>
  <si>
    <t>Salmo 88, 20. 21-22. 25-26</t>
  </si>
  <si>
    <t>Marcos 3, 22-30</t>
  </si>
  <si>
    <t xml:space="preserve">Salmo 23, 7. 8. 9. 10 </t>
  </si>
  <si>
    <t>2 Samuel 6, 12b-15. 17-19</t>
  </si>
  <si>
    <t>Mt 11, 25</t>
  </si>
  <si>
    <t>Marcos 3, 31-35</t>
  </si>
  <si>
    <t>2 Samuel 7, 4-17</t>
  </si>
  <si>
    <t>Salmo 88, 4-5. 27-28. 29-30</t>
  </si>
  <si>
    <t>Marcos 4, 1-20</t>
  </si>
  <si>
    <t>2 Samuel 7, 18-19. 24-29</t>
  </si>
  <si>
    <t>Salmo 131, 1-2. 3-5. 11. 12. 13-14</t>
  </si>
  <si>
    <t>Sal 118, 105</t>
  </si>
  <si>
    <t>Marcos 4, 21-25</t>
  </si>
  <si>
    <t>2 Samuel 11, 1-4a. 5-10a. 13-17</t>
  </si>
  <si>
    <t>Salmo 50, 3-4. 5-6a. 6bc-7. 10-11</t>
  </si>
  <si>
    <t>Marcos 4, 26-34</t>
  </si>
  <si>
    <t>2 Samuel 12, 1-7a. 10-17</t>
  </si>
  <si>
    <t>Salmo 50 12-13. 14-15. 16-17</t>
  </si>
  <si>
    <t>Jn 3, 16</t>
  </si>
  <si>
    <t>Marcos 4, 35-41</t>
  </si>
  <si>
    <t>2 Samuel 15, 13-14. 30; 16, 5-13</t>
  </si>
  <si>
    <t>Salmo 3, 2-3, 4-5. 6-7</t>
  </si>
  <si>
    <t>Marcos 5, 1-20</t>
  </si>
  <si>
    <t>2 Samuel 18, 9-10. 14b. 24-25a. 30—19, 3</t>
  </si>
  <si>
    <t>Salmo 85, 1-2. 3-4. 5-6</t>
  </si>
  <si>
    <t>Mt 8, 17</t>
  </si>
  <si>
    <t>Marcos 5, 21-43</t>
  </si>
  <si>
    <t>2 Samuel 24, 2. 9-17</t>
  </si>
  <si>
    <t>Salmo 31, 1-2. 5. 6. 7 </t>
  </si>
  <si>
    <t>Marcos 6, 1-6</t>
  </si>
  <si>
    <t>1 Reyes 2, 1-4. 10-12</t>
  </si>
  <si>
    <t>1Crónicas 29, 10. 11ab. 11d-12a. 12</t>
  </si>
  <si>
    <t>Marcos 6, 7-13</t>
  </si>
  <si>
    <t>Sirácida 47, 2-13</t>
  </si>
  <si>
    <t>Salmo 17, 31. 47 y 50. 51</t>
  </si>
  <si>
    <t>Lc 8, 15</t>
  </si>
  <si>
    <t>Marcos 6, 14-29</t>
  </si>
  <si>
    <t>Salmo 118, 9. 10. 11. 12. 13. 14</t>
  </si>
  <si>
    <t>1 Reyes 3, 4-13</t>
  </si>
  <si>
    <t>Marcos 6, 30-34</t>
  </si>
  <si>
    <t>1 Reyes 8, 1-7. 9-13</t>
  </si>
  <si>
    <t>Salmo 131, 6-7. 8-10</t>
  </si>
  <si>
    <t>Marcos 6, 53-56</t>
  </si>
  <si>
    <t>1 Reyes 8, 22-23. 27-30</t>
  </si>
  <si>
    <t>Salmo 83, 3. 4. 5 y 10. 11</t>
  </si>
  <si>
    <t>Sal 118, 36a. 29b</t>
  </si>
  <si>
    <t>Marcos 7, 1-13</t>
  </si>
  <si>
    <t>1 Reyes 10, 1-10</t>
  </si>
  <si>
    <t>Salmo 36, 5-6. 30-31. 39-40</t>
  </si>
  <si>
    <t>Jn 17, 17</t>
  </si>
  <si>
    <t>Marcos 7, 14-23</t>
  </si>
  <si>
    <t>1 Reyes 11 ,4-13</t>
  </si>
  <si>
    <t>Salmo 105, 3-4. 35-36. 37 y 40 </t>
  </si>
  <si>
    <t>St 1, 21</t>
  </si>
  <si>
    <t>Marcos 7, 24-30</t>
  </si>
  <si>
    <t>1 Reyes 11, 29-32; 12, 19</t>
  </si>
  <si>
    <t>Salmo 80, 10-11ab. 12-13. 14-15</t>
  </si>
  <si>
    <t>Marcos 7, 31-37</t>
  </si>
  <si>
    <t>1 Reyes 12, 26-32; 13, 33-34</t>
  </si>
  <si>
    <t>Salmo 105, 6-7a. 19-20. 21-22</t>
  </si>
  <si>
    <t>Mt 4, 4b</t>
  </si>
  <si>
    <t>Marcos 8, 1-10</t>
  </si>
  <si>
    <t>Santiago 1, 1-11</t>
  </si>
  <si>
    <t>Salmo 118, 67. 68. 71. 72. 75. 76</t>
  </si>
  <si>
    <t>Marcos 8, 11-13</t>
  </si>
  <si>
    <t>Santiago 1, 12-18</t>
  </si>
  <si>
    <t>Salmo 93, 12-13a. 14-15. 18-19 </t>
  </si>
  <si>
    <t>Marcos 8, 14-21</t>
  </si>
  <si>
    <t>Santiago 1, 19-27</t>
  </si>
  <si>
    <t>Salmo 14, 2-3ab. 3cd-4ab. 5 </t>
  </si>
  <si>
    <t>Marcos 8, 22-26</t>
  </si>
  <si>
    <t>Santiago 2, 1-9</t>
  </si>
  <si>
    <t>Salmo 33, 2-3. 4-5. 6-7</t>
  </si>
  <si>
    <t>Jn 6, 63c. 68c</t>
  </si>
  <si>
    <t>Marcos 8, 27-33</t>
  </si>
  <si>
    <t>Santiago 2, 14-24. 26</t>
  </si>
  <si>
    <t>Salmo 111, 1-2. 3-4. 5-6</t>
  </si>
  <si>
    <t>Jn 15, 15b</t>
  </si>
  <si>
    <t>Marcos 8, 34 - 9, 1</t>
  </si>
  <si>
    <t>Santiago 3, 1-10</t>
  </si>
  <si>
    <t>Salmo 11, 2-3. 4-5. 7-8 </t>
  </si>
  <si>
    <t>san Marcos 9, 2-13</t>
  </si>
  <si>
    <t>Santiago 3, 13-18</t>
  </si>
  <si>
    <t>Salmo 18, 8. 9. 10. 15</t>
  </si>
  <si>
    <t>Marcos 9, 14-29</t>
  </si>
  <si>
    <t>Santiago 4, 1-10</t>
  </si>
  <si>
    <t>Salmo 54, 7-8. 9-10a. 10b-11a. 23</t>
  </si>
  <si>
    <t>Ga 6, 14</t>
  </si>
  <si>
    <t>Marcos 9, 30-37</t>
  </si>
  <si>
    <t>Santiago 4, 13-17</t>
  </si>
  <si>
    <t>Salmo 48, 2-3. 6-7. 8-10. 11</t>
  </si>
  <si>
    <t>Marcos 9, 38-40</t>
  </si>
  <si>
    <t>Santiago 5, 1-6</t>
  </si>
  <si>
    <t>Salmo 48, 14-15ab. 15cd-16. 17-18. 19-20</t>
  </si>
  <si>
    <t>Marcos 9, 41-50</t>
  </si>
  <si>
    <t>Santiago 5, 9-12</t>
  </si>
  <si>
    <t>Salmo 102, 1-2. 3-4. 8-9. 11-12</t>
  </si>
  <si>
    <t>Marcos 10, 1-12</t>
  </si>
  <si>
    <t>Santiago 5, 13-20</t>
  </si>
  <si>
    <t>Salmo 140, 1-2. 3 y 8 </t>
  </si>
  <si>
    <t>Marcos 10, 13-16</t>
  </si>
  <si>
    <t>1 Pedro 1, 3-9</t>
  </si>
  <si>
    <t>Salmo 110, 1-2. 5-6. 9 y 10c</t>
  </si>
  <si>
    <t>2Co 8, 9</t>
  </si>
  <si>
    <t>Marcos 10, 17-27</t>
  </si>
  <si>
    <t>1 Pedro 1, 10-16</t>
  </si>
  <si>
    <t>Salmo 97, 1. 2-3ab. 3c-4</t>
  </si>
  <si>
    <t>Marcos 10, 28-31</t>
  </si>
  <si>
    <t>1 Pedro 1, 18-25</t>
  </si>
  <si>
    <t>Mc 10, 45</t>
  </si>
  <si>
    <t>Marcos 10, 32-45</t>
  </si>
  <si>
    <t>1 Pedro 2, 2-5. 9-12</t>
  </si>
  <si>
    <t>Salmo 99, 2. 3. 4. 5</t>
  </si>
  <si>
    <t>Jn 8, 12</t>
  </si>
  <si>
    <t>Marcos 10, 46-52</t>
  </si>
  <si>
    <t>1 Pedro 4, 7-13</t>
  </si>
  <si>
    <t>Salmo 95, 10. 11-12. 13</t>
  </si>
  <si>
    <t>Jn 15, 16</t>
  </si>
  <si>
    <t>Marcos 11, 11-26</t>
  </si>
  <si>
    <t>Judas: 17. 20b-25</t>
  </si>
  <si>
    <t>Salmo 62, 2. 3-4. 5-6</t>
  </si>
  <si>
    <t>Col 3, 16. 17</t>
  </si>
  <si>
    <t>Marcos 11, 27-33</t>
  </si>
  <si>
    <t>2 Pedro 1, 1-7</t>
  </si>
  <si>
    <t>Salmo 90, 1-2. 14-15ab. 15c-16</t>
  </si>
  <si>
    <t>Ap 1, 5ab</t>
  </si>
  <si>
    <t>Marcos 12, 1-12</t>
  </si>
  <si>
    <t>2 Pedro 3 ,12-15a. 17-18</t>
  </si>
  <si>
    <t>Salmo 89, 2. 3-4. 10. 14 y 16</t>
  </si>
  <si>
    <t>Marcos 12, 13-17</t>
  </si>
  <si>
    <t>2 Timoteo 1, 1-3. 6-12</t>
  </si>
  <si>
    <t>Salmo 122, 1-2a. 2</t>
  </si>
  <si>
    <t>Marcos 12, 18-27</t>
  </si>
  <si>
    <t>2 Timoteo 2, 8-15</t>
  </si>
  <si>
    <t>Salmo 24, 4bc-5ab. 8-9. 10 y 14</t>
  </si>
  <si>
    <t>Marcos 12, 28b-34</t>
  </si>
  <si>
    <t>2 Timoteo 3, 10-17</t>
  </si>
  <si>
    <t>Salmo 118, 157. 160. 161. 165. 166. 168</t>
  </si>
  <si>
    <t>Marcos 12, 35-37</t>
  </si>
  <si>
    <t>2 Timoteo 4, 1-8</t>
  </si>
  <si>
    <t>Salmo 70, 8-9. 14-15ab. 16-17. 22</t>
  </si>
  <si>
    <t>Mt 5, 3</t>
  </si>
  <si>
    <t>Marcos 12, 38-44</t>
  </si>
  <si>
    <t>1 Reyes 17, 1-6</t>
  </si>
  <si>
    <t>Salmo 120, 1-2. 3-4. 5-6. 7-8</t>
  </si>
  <si>
    <t>Mt 5, 12</t>
  </si>
  <si>
    <t>Mateo 5, 1-12</t>
  </si>
  <si>
    <t>1 Reyes 17, 7-16</t>
  </si>
  <si>
    <t>Salmo 4, 2-3. 4-5. 7-8</t>
  </si>
  <si>
    <t>Mt 5, 16</t>
  </si>
  <si>
    <t>1 Reyes 18, 20-39</t>
  </si>
  <si>
    <t>Salmo 15, 1-2a. 4. 5 y 8. 11</t>
  </si>
  <si>
    <t>Sal 24, 4b. 5a</t>
  </si>
  <si>
    <t>Mateo 5, 17-19</t>
  </si>
  <si>
    <t>1 Reyes 18, 41-46</t>
  </si>
  <si>
    <t>Salmo 64, 10. 10-11. 12-13</t>
  </si>
  <si>
    <t>Mateo 5, 20-26</t>
  </si>
  <si>
    <t>1 Reyes 19, 9a. 11-16</t>
  </si>
  <si>
    <t>Salmo 26, 7-8. 8-9. 13-14</t>
  </si>
  <si>
    <t>Flp 2, 15. 16</t>
  </si>
  <si>
    <t>Mateo 5, 27-32</t>
  </si>
  <si>
    <t>1 Reyes 19, 19-21</t>
  </si>
  <si>
    <t>Salmo 15, 1-2a y 5. 7-8. 9-10</t>
  </si>
  <si>
    <t>Sal 118, 36. 29</t>
  </si>
  <si>
    <t>Mateo 5, 33-37</t>
  </si>
  <si>
    <t>1 Reyes 21, 1-16</t>
  </si>
  <si>
    <t>Salmo 5, 2-3. 5-6. 7</t>
  </si>
  <si>
    <t>Mateo 5, 38-42</t>
  </si>
  <si>
    <t>1 Reyes 21, 17-29</t>
  </si>
  <si>
    <t>Salmo 50, 3-4. 5-6a. 11 y 16</t>
  </si>
  <si>
    <t>Mateo 5, 43-48</t>
  </si>
  <si>
    <t>2 Reyes 2, 1. 6-14</t>
  </si>
  <si>
    <t>Salmo 30, 20. 21. 24</t>
  </si>
  <si>
    <t>Mateo 6, 1-6. 16-18</t>
  </si>
  <si>
    <t>Sirácida 48, 1-15</t>
  </si>
  <si>
    <t>Salmo 96, 1-2. 3-4. 5-6. 7</t>
  </si>
  <si>
    <t>Rm 8, 15</t>
  </si>
  <si>
    <t>Mateo 6, 7-15</t>
  </si>
  <si>
    <t>2 Reyes 11, 1-4. 9-18. 20</t>
  </si>
  <si>
    <t>Salmo 131, 11. 12. 13-14. 17-18</t>
  </si>
  <si>
    <t>Mateo 6, 19-23</t>
  </si>
  <si>
    <t>2 Crónicas 24, 17-25</t>
  </si>
  <si>
    <t>Salmo 88, 4-5. 29-30. 31-32. 33-34</t>
  </si>
  <si>
    <t>2 Reyes 17, 5-8. 13-15.18</t>
  </si>
  <si>
    <t>Salmo 59, 3. 4-5. 12-13</t>
  </si>
  <si>
    <t>Mateo 7, 1-5</t>
  </si>
  <si>
    <t>2 Reyes 19, 9-11. 14-21. 31-35. 36</t>
  </si>
  <si>
    <t>Salmo 47, 2-3a. 3b-4. 10-11</t>
  </si>
  <si>
    <t>Mateo 7, 6. 12-14</t>
  </si>
  <si>
    <t>2 Reyes 22, 13; 23, 1-3</t>
  </si>
  <si>
    <t>Salmo 118, 33. 34. 35. 36. 37. 40</t>
  </si>
  <si>
    <t>Jn 15, 4a. 5</t>
  </si>
  <si>
    <t>Mateo 7, 15-20</t>
  </si>
  <si>
    <t>2 Reyes 24, 8-17</t>
  </si>
  <si>
    <t>Salmo 78, 1-2. 3-5. 8. 9</t>
  </si>
  <si>
    <t>Mateo 7, 21-29</t>
  </si>
  <si>
    <t>2 Reyes 25, 1-12</t>
  </si>
  <si>
    <t>Salmo 136, 1-2. 3. 4-5. 6</t>
  </si>
  <si>
    <t>Mateo 8, 1-4</t>
  </si>
  <si>
    <t>Lamentaciones 2, 2. 10-14. 18-19</t>
  </si>
  <si>
    <t>Salmo 73, 1-2. 3-5a. 5b-7. 20-21</t>
  </si>
  <si>
    <t>Mateo 8, 5-17</t>
  </si>
  <si>
    <t>Amós 2, 6-10. 13-16</t>
  </si>
  <si>
    <t>Salmo 49, 16-17. 18-19. 20-21. 22-23</t>
  </si>
  <si>
    <t>Sal 94, 8</t>
  </si>
  <si>
    <t>Mateo 8, 18-22</t>
  </si>
  <si>
    <t>Amós 3, 1-8; 4, 11-12</t>
  </si>
  <si>
    <t>Salmo 5, 5-6. 7. 8</t>
  </si>
  <si>
    <t>Sal 129, 5</t>
  </si>
  <si>
    <t>Mateo 8, 23-27</t>
  </si>
  <si>
    <t>Amós 5, 14-15. 21-24</t>
  </si>
  <si>
    <t>Salmo 49, 7. 8-9. 10-11. 12-13. 16-17</t>
  </si>
  <si>
    <t>St 1, 18</t>
  </si>
  <si>
    <t>Mateo 8, 28-34</t>
  </si>
  <si>
    <t>Amós 7, 10-17</t>
  </si>
  <si>
    <t>Salmo 18, 8. 9. 10. 11</t>
  </si>
  <si>
    <t>Mateo 9, 1-8</t>
  </si>
  <si>
    <t>Amós 8, 4-6. 9-12</t>
  </si>
  <si>
    <t>Salmo 118, 2. 10. 20. 30. 40. 131</t>
  </si>
  <si>
    <t>Mt 11, 28</t>
  </si>
  <si>
    <t>Amós 9, 11-15</t>
  </si>
  <si>
    <t>Salmo 84, 9. 11-12. 13-14</t>
  </si>
  <si>
    <t>Mateo 9, 14-17</t>
  </si>
  <si>
    <t>Oseas 2, 16. 17b-18. 21-22</t>
  </si>
  <si>
    <t>Salmo 144, 2-3. 4-5. 6-7. 8-9</t>
  </si>
  <si>
    <t>Mateo 9, 18-26</t>
  </si>
  <si>
    <t>Oseas 8, 4-7. 11. 13</t>
  </si>
  <si>
    <t>Salmo 113B, 3-4. 5-6. 7-8. 9-10</t>
  </si>
  <si>
    <t>Mateo 9, 32-38</t>
  </si>
  <si>
    <t>Oseas 10, 1-3. 7-8. 12</t>
  </si>
  <si>
    <t>Salmo 104, 2-3. 4-5. 6-7</t>
  </si>
  <si>
    <t>Mateo 10, 1-7</t>
  </si>
  <si>
    <t>Oseas 11, 1-4. 8-9</t>
  </si>
  <si>
    <t>Salmo 79, 2ac y 3b. 15-16</t>
  </si>
  <si>
    <t>Mateo 10, 7-15</t>
  </si>
  <si>
    <t>Oseas 14, 2-10</t>
  </si>
  <si>
    <t>Salmo 50, 3-4. 8-9. 12-13. 14 y 17</t>
  </si>
  <si>
    <t>Jn 16, 13; 14, 26</t>
  </si>
  <si>
    <t>Mateo 10, 16-23</t>
  </si>
  <si>
    <t>Isaías 6, 1-8</t>
  </si>
  <si>
    <t>Salmo 92, 1. 1-2. 5</t>
  </si>
  <si>
    <t>1P 4, 14</t>
  </si>
  <si>
    <t>Mateo 10, 24-33</t>
  </si>
  <si>
    <t>Isaías 1, 10-17</t>
  </si>
  <si>
    <t>Mt, 5, 10</t>
  </si>
  <si>
    <t>Mateo 10, 34—11, 1</t>
  </si>
  <si>
    <t>Isaías 7, 1-9</t>
  </si>
  <si>
    <t>Salmo 47, 2-3a. 3b-4. 5-6. 7-8</t>
  </si>
  <si>
    <t>Mateo 11, 20-24</t>
  </si>
  <si>
    <t>Isaías 10, 5-7. 13-16</t>
  </si>
  <si>
    <t>Salmo 93, 5-6. 7-8. 9-10. 14-15</t>
  </si>
  <si>
    <t>Mateo 11, 25-27</t>
  </si>
  <si>
    <t>Isaías 26, 7-9. 12. 16-19</t>
  </si>
  <si>
    <t>Salmo 101, 13-14ab y 15. 16-18. 19-21</t>
  </si>
  <si>
    <t>Mateo 11, 28-30</t>
  </si>
  <si>
    <t>Isaías 38, 1-6. 21-22. 7-8</t>
  </si>
  <si>
    <t>Isaías 38, 10. 11. 12. 16</t>
  </si>
  <si>
    <t>Mateo 12, 1-8</t>
  </si>
  <si>
    <t>Miqueas 2, 1-5</t>
  </si>
  <si>
    <t>Salmo 9, 22-23. 24-25. 28-29. 35</t>
  </si>
  <si>
    <t>Mateo 12, 14-21</t>
  </si>
  <si>
    <t>Miqueas 6, 1-4. 6-8</t>
  </si>
  <si>
    <t>Salmo 49, 5-6. 8-9. 16bc-17. 21 y 23</t>
  </si>
  <si>
    <t>Mateo 12, 38-42</t>
  </si>
  <si>
    <t>Miqueas 7, 14-15. 18-20</t>
  </si>
  <si>
    <t>Salmo 84, 2-4. 5-6. 7-8</t>
  </si>
  <si>
    <t>Mateo 12, 46-50</t>
  </si>
  <si>
    <t>Jeremías 1, 1. 4-10</t>
  </si>
  <si>
    <t>Salmo 70, 1-2. 3-4a. 5-6ab. 15ab y 17</t>
  </si>
  <si>
    <t>Jeremías 2, 1-3. 7-8. 12-13</t>
  </si>
  <si>
    <t>Salmo 35, 6-7ab. 8-9. 10-11</t>
  </si>
  <si>
    <t>Mateo 13, 10-17</t>
  </si>
  <si>
    <t>Jeremías 3, 14-17</t>
  </si>
  <si>
    <t>Jeremías 31, 10. 11 -12. 13</t>
  </si>
  <si>
    <t>Mateo 13, 18-23</t>
  </si>
  <si>
    <t>Jeremías 7, 1-11</t>
  </si>
  <si>
    <t>Salmo 83, 3. 4. 5-6 y 8. 11</t>
  </si>
  <si>
    <t>Jeremías 13, 1-11</t>
  </si>
  <si>
    <t>Deuteronomio 32, 18-19. 20. 21</t>
  </si>
  <si>
    <t>Mateo 13, 31-35</t>
  </si>
  <si>
    <t>Jeremías 14, 17-22</t>
  </si>
  <si>
    <t>Salmo 78, 8. 9. 11 y 13</t>
  </si>
  <si>
    <t>Mateo 13, 36-43</t>
  </si>
  <si>
    <t>Jeremías 15, 10. 16-21</t>
  </si>
  <si>
    <t>Salmo 58, 23. 4-5a. 10-11. 17. 18</t>
  </si>
  <si>
    <t>Jn 15, 15</t>
  </si>
  <si>
    <t>Jeremías 18, 1-6</t>
  </si>
  <si>
    <t>Salmo 145, 1-2. 3-4. 5-6</t>
  </si>
  <si>
    <t>Mateo 13, 47-53</t>
  </si>
  <si>
    <t>Jeremías 26, 1-9</t>
  </si>
  <si>
    <t>Salmo 68, 5. 8-10. 14</t>
  </si>
  <si>
    <t>1P 1, 25</t>
  </si>
  <si>
    <t>Mateo 13, 54-58</t>
  </si>
  <si>
    <t>Jeremías 26, 11-16. 24</t>
  </si>
  <si>
    <t>Salmo 68, 15-16. 30-31. 33-34</t>
  </si>
  <si>
    <t>Mt 5, 10</t>
  </si>
  <si>
    <t>Mateo 14, 1-12</t>
  </si>
  <si>
    <t>Jeremías 28, 1-17</t>
  </si>
  <si>
    <t>Salmo 118, 29. 43. 79. 80. 95. 102</t>
  </si>
  <si>
    <t>Jeremías 30, 1-2. 12-15. 18-22</t>
  </si>
  <si>
    <t>Salmo 101, 16-18. 19-21. 29 y 22-23</t>
  </si>
  <si>
    <t>Jn 1, 49b</t>
  </si>
  <si>
    <t>Mateo 14, 22-36 / Mateo 15, 1-2. 10-14</t>
  </si>
  <si>
    <t>Jeremías 31, 1-7</t>
  </si>
  <si>
    <t>Jeremías 31. 10. 11-12ab. 13</t>
  </si>
  <si>
    <t>Jeremías 31, 31-34</t>
  </si>
  <si>
    <t>Salmo 50, 12-13. 14-15. 18-19</t>
  </si>
  <si>
    <t>Mt 16, 18</t>
  </si>
  <si>
    <t>Mateo 16, 13-23</t>
  </si>
  <si>
    <t>Nahum 2, 1. 3; 3, 1-3. 6-7</t>
  </si>
  <si>
    <t>Deuteronomio 32, 35-36. 39. 41 </t>
  </si>
  <si>
    <t>Mateo 16, 24-28</t>
  </si>
  <si>
    <t>Habacuc 1, 12—2, 4</t>
  </si>
  <si>
    <t>Salmo 9, 8-9. 10-11. 12-13</t>
  </si>
  <si>
    <t>Mateo 17, 14-20</t>
  </si>
  <si>
    <t>Ezequiel 1, 2-5. 24-28</t>
  </si>
  <si>
    <t>Salmo 148, 1-2. 11-12. 12-14</t>
  </si>
  <si>
    <t>2Ts 2, 14</t>
  </si>
  <si>
    <t>Mateo 17, 22-27</t>
  </si>
  <si>
    <t>Ezequiel 2, 8—3, 4</t>
  </si>
  <si>
    <t>Salmo 118, 14. 24. 72. 103. 111. 131</t>
  </si>
  <si>
    <t>Mt 11, 29</t>
  </si>
  <si>
    <t>Mateo 18, 1-5. 10. 12-14</t>
  </si>
  <si>
    <t>Ezequiel 9, 1-7; 10, 18-22</t>
  </si>
  <si>
    <t>Salmo 112, 1-2. 3-4. 5-6</t>
  </si>
  <si>
    <t>Ezequiel 12, 1-12</t>
  </si>
  <si>
    <t>Salmo 77, 56-57. 58-59. 61-62</t>
  </si>
  <si>
    <t>Sal 118, 135</t>
  </si>
  <si>
    <t>Mateo 18, 21 - 19, 1</t>
  </si>
  <si>
    <t>Ezequiel 16, 1-15. 60. 63  / Ezequiel Ez 16, 59-63</t>
  </si>
  <si>
    <t>Isaías 12, 2-3. 4bcd. 5-6 </t>
  </si>
  <si>
    <t>Mateo 19, 3-12</t>
  </si>
  <si>
    <t>Ezequiel 18, 1-10. 13b. 30-32</t>
  </si>
  <si>
    <t>Mateo 19, 13-15</t>
  </si>
  <si>
    <t>Ezequiel 24, 15-24</t>
  </si>
  <si>
    <t>Mateo 19, 16-22</t>
  </si>
  <si>
    <t>Ezequiel 28, 1-10</t>
  </si>
  <si>
    <t>Deuteronomio 32, 26-27. 27-28. 30. 35-36</t>
  </si>
  <si>
    <t>Mateo 19, 23-30</t>
  </si>
  <si>
    <t>Ezequiel 34, 1-11</t>
  </si>
  <si>
    <t>Ezequiel 36, 23-28</t>
  </si>
  <si>
    <t>Ezequiel 37, 1-14</t>
  </si>
  <si>
    <t>Salmo 106, 2-3. 4-5. 6-7. 8-9</t>
  </si>
  <si>
    <t>Ezequiel 43, 1-7a</t>
  </si>
  <si>
    <t>Salmo 84, 9ab-10. 11-12. 13-14</t>
  </si>
  <si>
    <t>Mt 23, 9. 10</t>
  </si>
  <si>
    <t>Sal 24, 4. 5</t>
  </si>
  <si>
    <t>https://servicioskoinonia.org/leccionario/Libro_04.html</t>
  </si>
  <si>
    <t>Rut 2, 1-3. 8-11; 4, 13-17</t>
  </si>
  <si>
    <t>1 Tesalonicenses 1, 1-5. 8-10</t>
  </si>
  <si>
    <t>Salmo 149, 1-2. 3-4. 5-6a y 9b</t>
  </si>
  <si>
    <t>Salmo 149, 1-2. 3-4. 5-6 y 9</t>
  </si>
  <si>
    <t>Mateo 23, 13-22</t>
  </si>
  <si>
    <t>1 Tesalonicenses 2, 1-8</t>
  </si>
  <si>
    <t>Salmo 138, 1-3. 4-6</t>
  </si>
  <si>
    <t>Mateo 23, 23-26</t>
  </si>
  <si>
    <t>1 Tesalonicenses 2, 9-13</t>
  </si>
  <si>
    <t>Salmo 138, 7-8. 9-10. 11-12</t>
  </si>
  <si>
    <t>1Jn 2, 5</t>
  </si>
  <si>
    <t>Mateo 23, 27-32</t>
  </si>
  <si>
    <t>1 Tesalonicenses 3, 7-13</t>
  </si>
  <si>
    <t>Salmo 89, 3-4. 12-13. 14 y 17</t>
  </si>
  <si>
    <t>Mt 24, 42a. 44</t>
  </si>
  <si>
    <t>Mateo 24, 42-51</t>
  </si>
  <si>
    <t>Salmo 96, 1 y 2b. 5-6. 10. 11-12</t>
  </si>
  <si>
    <t>Lc 21, 36</t>
  </si>
  <si>
    <t>1 Tesalonicenses 4, 9-11</t>
  </si>
  <si>
    <t>1 Tesalonicenses 4, 1-8</t>
  </si>
  <si>
    <t>Salmo 97, 1. 7-8. 9</t>
  </si>
  <si>
    <t>1 Tesalonicenses 4, 13-18</t>
  </si>
  <si>
    <t>Salmo 95, 1 y 3. 4-5. 11-12a. 12b-13</t>
  </si>
  <si>
    <t>Lucas 4, 16-30</t>
  </si>
  <si>
    <t>1 Tesalonicenses 5, 1-6. 9-11</t>
  </si>
  <si>
    <t>Salmo 26, 1. 4. 13-14 </t>
  </si>
  <si>
    <t>Salmo 26, 1. 4. 13-14</t>
  </si>
  <si>
    <t>Lucas 4, 31-37</t>
  </si>
  <si>
    <t>Colosenses 1, 1-8</t>
  </si>
  <si>
    <t>Salmo 51, 10. 11</t>
  </si>
  <si>
    <t>Lucas 4, 38-44</t>
  </si>
  <si>
    <t>Colosenses 1, 9-14</t>
  </si>
  <si>
    <t>Salmo 97, 2-3ab. 3cd-4. 5-6</t>
  </si>
  <si>
    <t>Mt 4, 19</t>
  </si>
  <si>
    <t>Lucas 5, 1-11</t>
  </si>
  <si>
    <t>Colosenses 1, 15-20</t>
  </si>
  <si>
    <t>Jn 8, 12b</t>
  </si>
  <si>
    <t>Lucas 5, 33-39</t>
  </si>
  <si>
    <t>Colosenses 1, 21-23</t>
  </si>
  <si>
    <t>Salmo 53, 3-4. 6 y 8</t>
  </si>
  <si>
    <t>Lucas 6, 1-5</t>
  </si>
  <si>
    <t>Colosenses 1, 24—2, 3</t>
  </si>
  <si>
    <t>Salmo 61, 6-7. 9</t>
  </si>
  <si>
    <t>Lucas 6, 6-11</t>
  </si>
  <si>
    <t>Colosenses 2, 6-15</t>
  </si>
  <si>
    <t>Salmo 144, 1-2. 8-9. 10-11</t>
  </si>
  <si>
    <t>Lucas 6, 12-19</t>
  </si>
  <si>
    <t>Colosenses 3, 1-11</t>
  </si>
  <si>
    <t>Salmo 144, 2-3. 10-11. 12-13</t>
  </si>
  <si>
    <t>Lc 6, 23ab</t>
  </si>
  <si>
    <t>Lc 6, 23</t>
  </si>
  <si>
    <t>Lucas 6, 20-26</t>
  </si>
  <si>
    <t>Colosenses 3, 12-17</t>
  </si>
  <si>
    <t>Salmo 150, 1. 3-4. 5-6</t>
  </si>
  <si>
    <t>1Jn 4, 12</t>
  </si>
  <si>
    <t>Lucas 6, 27-38</t>
  </si>
  <si>
    <t>1 Timoteo 1, 1-2. 12-14</t>
  </si>
  <si>
    <t>Salmo 15, 1-2a y 5. 7-8. 11</t>
  </si>
  <si>
    <t>Jn 17, 17b</t>
  </si>
  <si>
    <t>Lucas 6, 39-42</t>
  </si>
  <si>
    <t>1 Timoteo 1, 15-17</t>
  </si>
  <si>
    <t>Salmo 112, 1-2. 3-4. 5 y 6-7</t>
  </si>
  <si>
    <t>Lucas 6, 43-49</t>
  </si>
  <si>
    <t>1 Timoteo 2, 1-8</t>
  </si>
  <si>
    <t>Salmo 27, 2. 7. 8-9</t>
  </si>
  <si>
    <t>Lucas 7, 1-10</t>
  </si>
  <si>
    <t>1 Timoteo 3, 1-13</t>
  </si>
  <si>
    <t>Salmo 100, 1-2. 2-3. 5. 6</t>
  </si>
  <si>
    <t>Lucas 7, 11-17</t>
  </si>
  <si>
    <t>1 Timoteo 3, 14-16</t>
  </si>
  <si>
    <t>Salmo 110, 1-2. 3-4. 5-6</t>
  </si>
  <si>
    <t>Jn 6, 63. 68</t>
  </si>
  <si>
    <t>Lucas 7, 31-35</t>
  </si>
  <si>
    <t>1 Timoteo 4, 12-16</t>
  </si>
  <si>
    <t>Salmo 110, 7-8. 9. 10</t>
  </si>
  <si>
    <t>Lucas 7, 36-50</t>
  </si>
  <si>
    <t>1 Timoteo 6, 2-12</t>
  </si>
  <si>
    <t>Salmo 48, 6-7. 8-10. 17-18. 19-20</t>
  </si>
  <si>
    <t>Lucas 8, 1-3</t>
  </si>
  <si>
    <t>Timoteo 6, 13-16</t>
  </si>
  <si>
    <t>Lucas 8, 4-15</t>
  </si>
  <si>
    <t>Esdras 1, 1-6</t>
  </si>
  <si>
    <t>Salmo 125, 1-2ab. 2cd-3. 4-5. 6</t>
  </si>
  <si>
    <t>Salmo 125, 1-2. 2-3. 4-5. 6</t>
  </si>
  <si>
    <t>Lucas 8, 16-18</t>
  </si>
  <si>
    <t>Esdras 6, 7-8. 12. 14-20</t>
  </si>
  <si>
    <t>Salmo 121, 1-2. 3-4a. 4b-5</t>
  </si>
  <si>
    <t>Lc 11,28</t>
  </si>
  <si>
    <t>Lucas 8, 19-21</t>
  </si>
  <si>
    <t>Esdras 9, 5-9</t>
  </si>
  <si>
    <t>Tobías 13, 2. 4. 6. 7. 8</t>
  </si>
  <si>
    <t>Lucas 9, 1-6</t>
  </si>
  <si>
    <t>Ageo 1, 1-8</t>
  </si>
  <si>
    <t>Salmo 149, 1-2. 3-4. 5-6. 9</t>
  </si>
  <si>
    <t>Lucas 9, 7-9</t>
  </si>
  <si>
    <t>Ageo 1, 15b—2, 9</t>
  </si>
  <si>
    <t>Salmo 42, 1. 2. 3. 4</t>
  </si>
  <si>
    <t>Lucas 9, 18-22</t>
  </si>
  <si>
    <t>Zacarías 2, 5-9. 14-15</t>
  </si>
  <si>
    <t>Jeremías 31, 10. 11-12. 13</t>
  </si>
  <si>
    <t>Lucas 9, 43b-45</t>
  </si>
  <si>
    <t>Lucas 9, 43-45</t>
  </si>
  <si>
    <t>Zacarías 8, 1-8</t>
  </si>
  <si>
    <t>Salmo 101. 16-18. 19-21. 29 y 22-23</t>
  </si>
  <si>
    <t>Lucas 9, 46-50</t>
  </si>
  <si>
    <t>Zacarías 8, 20-23</t>
  </si>
  <si>
    <t>Salmo 86, 1-3. 4-5. 6-7</t>
  </si>
  <si>
    <t>Lucas 9, 51-56</t>
  </si>
  <si>
    <t>Nehemías 2, 1-8</t>
  </si>
  <si>
    <t>Flp 3, 8-9</t>
  </si>
  <si>
    <t>Lucas 9, 57-62</t>
  </si>
  <si>
    <t>Nehemías 8 ,1-4. 5-6. 7-12</t>
  </si>
  <si>
    <t>Lucas 10, 1-12</t>
  </si>
  <si>
    <t>Baruc 1, 15-22</t>
  </si>
  <si>
    <t>Sal 94, 8ab</t>
  </si>
  <si>
    <t>Lucas 10, 13-16</t>
  </si>
  <si>
    <t>Baruc 4, 5-12. 27-29</t>
  </si>
  <si>
    <t>Salmo 68, 33-35. 36-37</t>
  </si>
  <si>
    <t>Lucas 10, 17-24</t>
  </si>
  <si>
    <t>Jonás 1, 1—2, 1. 11</t>
  </si>
  <si>
    <t>Jonás 2, 3. 4. 5. 8</t>
  </si>
  <si>
    <t>Jn 13, 14</t>
  </si>
  <si>
    <t>Lucas 10, 25-37</t>
  </si>
  <si>
    <t>Jonás 3, 1-10</t>
  </si>
  <si>
    <t>Salmo 129, 1-2. 3-4. 7-8</t>
  </si>
  <si>
    <t>Lc 11, 28</t>
  </si>
  <si>
    <t>Lucas 10, 38-42</t>
  </si>
  <si>
    <t>Jonás 4, 1-11</t>
  </si>
  <si>
    <t>Salmo 85, 3-4. 5-6. 9-10</t>
  </si>
  <si>
    <t>Rm 8, 15bc</t>
  </si>
  <si>
    <t>Lucas 11, 1-4</t>
  </si>
  <si>
    <t>Malaquías 3, 13-20a</t>
  </si>
  <si>
    <t>Salmo 1, 1-2a. 3. 4 y 6</t>
  </si>
  <si>
    <t>Hch 16, 14b</t>
  </si>
  <si>
    <t>Lucas 11, 5-13</t>
  </si>
  <si>
    <t>Joel 1, 13-15; 2 , 1-2</t>
  </si>
  <si>
    <t>Salmo 9, 2-3. 6 y 16. 8-9</t>
  </si>
  <si>
    <t>Jn 12, 31b. 32</t>
  </si>
  <si>
    <t>Jn 12, 31. 32</t>
  </si>
  <si>
    <t>Lucas 11, 15-26</t>
  </si>
  <si>
    <t>Joel 4, 12-21</t>
  </si>
  <si>
    <t>Salmo 96, 1-2. 5-6. 11-12</t>
  </si>
  <si>
    <t>Lucas 11, 27-28</t>
  </si>
  <si>
    <t>IMP</t>
  </si>
  <si>
    <t>TO</t>
  </si>
  <si>
    <t>PAR</t>
  </si>
  <si>
    <t>2 Tesalonicenses 1, 1-5. 11b-12</t>
  </si>
  <si>
    <t>Salmo 95, 1-2a. 2b-3. 4-5</t>
  </si>
  <si>
    <t>2 Tesalonicenses 2, 1-3a. 14-17</t>
  </si>
  <si>
    <t>Salmo 95, 10. 11-12a. 12b-13</t>
  </si>
  <si>
    <t>2 Tesalonicenses 3, 6-10. 16-18</t>
  </si>
  <si>
    <t>Salmo 127, 1-2. 4-5</t>
  </si>
  <si>
    <t>1 Corintios 1, 1-9</t>
  </si>
  <si>
    <t>Salmo 144, 2-3. 4-5. 6-7</t>
  </si>
  <si>
    <t>Salmo 32, 1-2. 4-5. 10ab y 11</t>
  </si>
  <si>
    <t>1 Corintios 1, 26-31</t>
  </si>
  <si>
    <t>1 Corintios 1, 17-25</t>
  </si>
  <si>
    <t>Salmo 32, 12-13. 18-19. 20-21</t>
  </si>
  <si>
    <t>1 Corintios 2, 1-5</t>
  </si>
  <si>
    <t>Salmo 118, 97. 98. 99. 100. 101</t>
  </si>
  <si>
    <t>1 Corintios 2, 10b-16</t>
  </si>
  <si>
    <t>Salmo 144, 8-9. 10-11. 12-13ab. 13cb-14</t>
  </si>
  <si>
    <t>Lc 7,16</t>
  </si>
  <si>
    <t>1 Corintios 3, 1-9</t>
  </si>
  <si>
    <t>Salmo 32, 12-13. 14-15. 20-21</t>
  </si>
  <si>
    <t>1 Corintios 3, 18-23</t>
  </si>
  <si>
    <t>Corintios 4, 1-5</t>
  </si>
  <si>
    <t>Salmo 36, 3-4. 5-6. 27-28. 39-40</t>
  </si>
  <si>
    <t>1 Corintios 4, 6b-15</t>
  </si>
  <si>
    <t>Salmo 144, 17-18. 19-20. 21</t>
  </si>
  <si>
    <t>1 Corintios 5, 1-8</t>
  </si>
  <si>
    <t>Salmo 5, 5-6. 7. 12</t>
  </si>
  <si>
    <t>1 Corintios 6, 1-11</t>
  </si>
  <si>
    <t>1 Corintios 7, 25-31</t>
  </si>
  <si>
    <t>Salmo 44, 11-12. 14-15. 16-17</t>
  </si>
  <si>
    <t>1 Corintios 8, 1b-7. 11-13</t>
  </si>
  <si>
    <t>Salmo 138, 1-3. 13-14ab. 23-24 </t>
  </si>
  <si>
    <t>1 Corintios 9, 16-19. 22b-27</t>
  </si>
  <si>
    <t>Salmo 83, 3. 4. 5-6. 12</t>
  </si>
  <si>
    <t>1 Corintios 10, 14-22</t>
  </si>
  <si>
    <t>Salmo 115, 12-13. 17-18</t>
  </si>
  <si>
    <t>1 Corintios 11, 17-26. 33</t>
  </si>
  <si>
    <t>Salmo 39, 7-8a. 8b-9. 10. 17</t>
  </si>
  <si>
    <t>1 Corintios 12, 12-14. 27-31a</t>
  </si>
  <si>
    <t>1 Corintios 12, 31—13, 13</t>
  </si>
  <si>
    <t>Salmo 32, 2-3. 4-5. 12 y 22</t>
  </si>
  <si>
    <t>1 Corintios 15, 1-11</t>
  </si>
  <si>
    <t>Salmo 117, 1-2. 16ab-17, 28</t>
  </si>
  <si>
    <t>1 Corintios 15, 12-20</t>
  </si>
  <si>
    <t>Salmo 16, 1. 6-7. 8 y 15</t>
  </si>
  <si>
    <t>1 Corintios 15, 35-37. 42-49</t>
  </si>
  <si>
    <t>Salmo 55, 10. 11-12. 13. 14</t>
  </si>
  <si>
    <t>Proverbios 3, 27-34</t>
  </si>
  <si>
    <t>14, 2-3ab. 3cd-4ab. 5</t>
  </si>
  <si>
    <t>Proverbios 21, 1-6. 10-13</t>
  </si>
  <si>
    <t>Salmo 118, 1. 27. 30. 34. 35. 44</t>
  </si>
  <si>
    <t>Proverbios 30, 5-9</t>
  </si>
  <si>
    <t>Salmo 118, 29. 72. 89. 101. 104. 163</t>
  </si>
  <si>
    <t>Qohélet 1, 2-11</t>
  </si>
  <si>
    <t>Salmo 89, 3-4. 5-6. 12-13. 14 y 17</t>
  </si>
  <si>
    <t>Qohélet 3, 1-11</t>
  </si>
  <si>
    <t>Salmo 143. 1a y 2abc. 3-4</t>
  </si>
  <si>
    <t>Qohélet 11, 9—12, 8</t>
  </si>
  <si>
    <t>Job 1, 6-22</t>
  </si>
  <si>
    <t>Salmo 16, 1. 2-3. 6-7</t>
  </si>
  <si>
    <t>Job 3, 1-3. 11-17. 20-23</t>
  </si>
  <si>
    <t>Salmo 87, 2-3. 4-5. 6. 7-8</t>
  </si>
  <si>
    <t>Job 9, 1-12. 14-16</t>
  </si>
  <si>
    <t>Salmo 87, 10bc-11. 12-13. 14-15</t>
  </si>
  <si>
    <t>Job 19, 21-27</t>
  </si>
  <si>
    <t>Salmo 26, 7-8a. 8b-9abc. 13-14</t>
  </si>
  <si>
    <t>Job 38, 1. 12-21; 40, 3-5</t>
  </si>
  <si>
    <t>Salmo 138, 1-3, 7-8. 9-10. 13-14ab</t>
  </si>
  <si>
    <t>Job 42, 1-3. 5-6. 12-16</t>
  </si>
  <si>
    <t>Salmo 118, 66. 71. 75. 91. 125. 130</t>
  </si>
  <si>
    <t>Gálatas 1, 6-12</t>
  </si>
  <si>
    <t>Salmo 110, 1-2. 7-8. 9 y 10</t>
  </si>
  <si>
    <t>Gálatas 1, 13-24</t>
  </si>
  <si>
    <t>Salmo 138, 1-3. 13-14ab. 14c-15</t>
  </si>
  <si>
    <t>Gálatas 2, 1-2. 7-14</t>
  </si>
  <si>
    <t>Salmo 116, 1. 2</t>
  </si>
  <si>
    <t>Gálatas 3, 1-5</t>
  </si>
  <si>
    <t>Lucas 1. 69-70, 71-72. 73-75</t>
  </si>
  <si>
    <t>Gálatas 3, 7-14</t>
  </si>
  <si>
    <t>Gálatas 3, 22-29</t>
  </si>
  <si>
    <t>Gálatas 4, 22-24. 26-27. 31—5, 1</t>
  </si>
  <si>
    <t>Salmo 112, 1-2. 3-4. 5a y 6-7</t>
  </si>
  <si>
    <t>Lucas 11, 29-32</t>
  </si>
  <si>
    <t>Gálatas 5, 1-6</t>
  </si>
  <si>
    <t>Salmo 118, 41. 43. 44. 45. 47. 48</t>
  </si>
  <si>
    <t>Lucas 11, 37-41</t>
  </si>
  <si>
    <t>Gálatas 5, 18-25</t>
  </si>
  <si>
    <t>Salmo 1, 1-2. 3. 4 y 6 </t>
  </si>
  <si>
    <t>Lucas 11, 42-46</t>
  </si>
  <si>
    <t>Efesios 1, 1-10</t>
  </si>
  <si>
    <t>Lucas 11, 47-54</t>
  </si>
  <si>
    <t>Efesios 1, 11-14</t>
  </si>
  <si>
    <t>Salmo 32. 1-2. 4-5. 12-13</t>
  </si>
  <si>
    <t>Sal 32, 22</t>
  </si>
  <si>
    <t>Lucas 12, 1-7</t>
  </si>
  <si>
    <t>Efesios 1, 15-23</t>
  </si>
  <si>
    <t>Salmo 8, 2-3a. 4-5. 6-7</t>
  </si>
  <si>
    <t>Jn 15, 26b. 27a</t>
  </si>
  <si>
    <t>Lucas 12, 8-12</t>
  </si>
  <si>
    <t>Efesios 2, 1-10</t>
  </si>
  <si>
    <t>Lucas 12, 13-21</t>
  </si>
  <si>
    <t>Efesios 2, 12-22</t>
  </si>
  <si>
    <t>Lucas 12, 35-38</t>
  </si>
  <si>
    <t>Efesios 3, 2-12</t>
  </si>
  <si>
    <t>Isaías 12, 2-3. 4bcd. 5-6</t>
  </si>
  <si>
    <t>Lucas 12, 39-48</t>
  </si>
  <si>
    <t>Efesios 3, 14-21</t>
  </si>
  <si>
    <t>Salmo 32, 1-2. 4-5. 11-12. 18-19</t>
  </si>
  <si>
    <t>Lucas 12, 49-53</t>
  </si>
  <si>
    <t>Efesios 4, 1-6</t>
  </si>
  <si>
    <t>Salmo 23, 1-2. 3-4ab. 5-6 </t>
  </si>
  <si>
    <t>Lucas 12, 54-59</t>
  </si>
  <si>
    <t>Efesios 4, 7-16</t>
  </si>
  <si>
    <t>Ez 33,11</t>
  </si>
  <si>
    <t>Lucas 13, 1-9</t>
  </si>
  <si>
    <t>Efesios 4, 32—5, 8</t>
  </si>
  <si>
    <t>Salmo 1, 1-2. 3. 4 y 6</t>
  </si>
  <si>
    <t>Lucas 13, 10-17</t>
  </si>
  <si>
    <t>Efesios 5, 21-33</t>
  </si>
  <si>
    <t>Lucas 13, 18-21</t>
  </si>
  <si>
    <t>Efesios 6, 1-9</t>
  </si>
  <si>
    <t>Salmo 144, 10-11. 12-13ab. 13cd-14</t>
  </si>
  <si>
    <t>Lucas 13, 22-30</t>
  </si>
  <si>
    <t>Efesios 6, 10-20</t>
  </si>
  <si>
    <t>Lc 19, 38</t>
  </si>
  <si>
    <t>Lucas 13, 31-35</t>
  </si>
  <si>
    <t>Filipenses 1, 1-11</t>
  </si>
  <si>
    <t>Salmo 110, 1-2. 3-4. 5-6 </t>
  </si>
  <si>
    <t>Lucas 14, 1-6</t>
  </si>
  <si>
    <t>Filipenses 1, 18b-26</t>
  </si>
  <si>
    <t>Salmo 41, 2. 3. 5bcd</t>
  </si>
  <si>
    <t>Lucas 14, 1. 7-11</t>
  </si>
  <si>
    <t>Filipenses 2, 1-4</t>
  </si>
  <si>
    <t>Salmo 130, 1. 2. 3</t>
  </si>
  <si>
    <t>Jn 8, 31b-32</t>
  </si>
  <si>
    <t>Lucas 14, 12-14</t>
  </si>
  <si>
    <t>Filipenses 2, 5-11</t>
  </si>
  <si>
    <t>Salmo 21, 26b-27. 28-30a. 31-32</t>
  </si>
  <si>
    <t>Lucas 14, 15-24</t>
  </si>
  <si>
    <t>Filipenses 2, 12-18</t>
  </si>
  <si>
    <t>Lucas 14, 25-33</t>
  </si>
  <si>
    <t>Filipenses 3, 3-8a</t>
  </si>
  <si>
    <t>Salmo 104. 2-3. 4-5. 6-7</t>
  </si>
  <si>
    <t>Lucas 15, 1-10</t>
  </si>
  <si>
    <t>Filipenses 3, 17—4, 1</t>
  </si>
  <si>
    <t>Salmo 121, 1-2. 4-5</t>
  </si>
  <si>
    <t>Lucas 16, 1-8</t>
  </si>
  <si>
    <t>Filipenses 4, 10-19</t>
  </si>
  <si>
    <t>Salmo 111, 1-2. 5-6. 8a y 9 </t>
  </si>
  <si>
    <t>Lucas 16, 9-15</t>
  </si>
  <si>
    <t>Tito 1, 1-9</t>
  </si>
  <si>
    <t>Flp 2, 15d. 16a</t>
  </si>
  <si>
    <t>Lucas 17, 1-6</t>
  </si>
  <si>
    <t>Tito 2, 1-8. 11-14</t>
  </si>
  <si>
    <t>Salmo 36, 3-4. 18 y 23. 27 y 29</t>
  </si>
  <si>
    <t>Lucas 17, 7-10</t>
  </si>
  <si>
    <t>Tito 3, 1-7</t>
  </si>
  <si>
    <t>Salmo 22, 1-3a. 3b-4. 5. 6 </t>
  </si>
  <si>
    <t>1Ts 5, 18</t>
  </si>
  <si>
    <t>Lucas 17, 11-19</t>
  </si>
  <si>
    <t>Filemón 7-20</t>
  </si>
  <si>
    <t>Jn 15, 5</t>
  </si>
  <si>
    <t>Lucas 17, 20-25</t>
  </si>
  <si>
    <t>2 Juan 4-9</t>
  </si>
  <si>
    <t>Salmo 118, 1. 2. 10. 11. 17. 18</t>
  </si>
  <si>
    <t>Lc 21, 28</t>
  </si>
  <si>
    <t>Lucas 17, 26-37</t>
  </si>
  <si>
    <t>3 Juan 5-8</t>
  </si>
  <si>
    <t>Lucas 18, 1-8</t>
  </si>
  <si>
    <t>Apocalipsis 1, 1-4; 2, 1-5a</t>
  </si>
  <si>
    <t>Lucas 18, 35-43</t>
  </si>
  <si>
    <t>Apocalipsis 3, 1-6. 14-22</t>
  </si>
  <si>
    <t>Salmo 14, 2-3ab. 3cd-4ab. 5</t>
  </si>
  <si>
    <t>1Jn 4, 10b</t>
  </si>
  <si>
    <t>Lucas 19, 1-10</t>
  </si>
  <si>
    <t>Apocalipsis 4, 1-11</t>
  </si>
  <si>
    <t>Salmo 150, 1-2. 3-4. 5-6</t>
  </si>
  <si>
    <t>Lucas 19, 11-28</t>
  </si>
  <si>
    <t>Apocalipsis 5, 1-10</t>
  </si>
  <si>
    <t>Lucas 19, 41-44</t>
  </si>
  <si>
    <t>Apocalipsis 10, 8-11</t>
  </si>
  <si>
    <t>Lucas 19, 45-48</t>
  </si>
  <si>
    <t>Apocalipsis 11, 4-12</t>
  </si>
  <si>
    <t>Lucas 20, 27-40</t>
  </si>
  <si>
    <t>Apocalipsis 14, 1-3. 4b-5</t>
  </si>
  <si>
    <t>Lucas 21, 1-4</t>
  </si>
  <si>
    <t>Apocalipsis 14, 14-19</t>
  </si>
  <si>
    <t>Ap 2, 10c</t>
  </si>
  <si>
    <t>Lucas 21, 5-11</t>
  </si>
  <si>
    <t>Apocalipsis 15, 1-4</t>
  </si>
  <si>
    <t>Salmo 97, 1. 2-3ab. 7-8. 9</t>
  </si>
  <si>
    <t>Lucas 21, 12-19</t>
  </si>
  <si>
    <t>Apocalipsis 18, 1-2. 21-23; 19, 1-3. 9a</t>
  </si>
  <si>
    <t>Salmo 99, 2. 3. 4. 5 </t>
  </si>
  <si>
    <t>Lucas 21 ,20-28</t>
  </si>
  <si>
    <t>Apocalipsis 20, 1-4. 11—21, 2</t>
  </si>
  <si>
    <t>Salmo 83, 3. 4. 5-6a y 8a</t>
  </si>
  <si>
    <t>Lucas 21, 29-33</t>
  </si>
  <si>
    <t>Apocalipsis 22, 1-7</t>
  </si>
  <si>
    <t>Salmo 94, 1-2. 3-5. 6-7 </t>
  </si>
  <si>
    <t>Lucas 21, 34-36</t>
  </si>
  <si>
    <t>Salmo 96, 1 y 2b. 6 y 7c. 9</t>
  </si>
  <si>
    <t>Hebreos 2, 5-12</t>
  </si>
  <si>
    <t>Salmo 8, 2 a y 5. 6-7. 8-9</t>
  </si>
  <si>
    <t>Hebreos 2, 14-18</t>
  </si>
  <si>
    <t>Salmo 104, 1-2. 3-4. 6-7. 8-9</t>
  </si>
  <si>
    <t>Jn 10, 27</t>
  </si>
  <si>
    <t>Marcos 1, 29-39</t>
  </si>
  <si>
    <t>Hebreos 3, 7-14</t>
  </si>
  <si>
    <t>Salmo 94, 6-7. 8-9. 10-11</t>
  </si>
  <si>
    <t>Marcos 1, 40-45</t>
  </si>
  <si>
    <t>Hebreos 4, 1-5. 11</t>
  </si>
  <si>
    <t>Salmo 77, 3 y 4bc. 6c-7. 8</t>
  </si>
  <si>
    <t>Hebreos 4, 12-16</t>
  </si>
  <si>
    <t>Hebreos 5,1-10</t>
  </si>
  <si>
    <t>Salmo 109, 1. 2. 3. 4</t>
  </si>
  <si>
    <t>Hebreos 6, 10-20</t>
  </si>
  <si>
    <t>Salmo 110, 1-2. 4-5. 9 y 10c</t>
  </si>
  <si>
    <t>Hebreos 7, 1-3. 15-17</t>
  </si>
  <si>
    <t>Hebreos 7, 25—8, 6</t>
  </si>
  <si>
    <t>Hebreos 8, 6-13</t>
  </si>
  <si>
    <t>Salmo 84, 8 y 10. 11-12. 13-14</t>
  </si>
  <si>
    <t>Hebreos 9, 2-3. 11-14</t>
  </si>
  <si>
    <t>Hebreos 9, 15. 24-28</t>
  </si>
  <si>
    <t>Hebreos 10, 1-10</t>
  </si>
  <si>
    <t>Salmo 39, 2 y 4ab. 7-8a. 10. 11</t>
  </si>
  <si>
    <t>Hebreos 10, 11-18</t>
  </si>
  <si>
    <t>Hebreos 10, 19-25</t>
  </si>
  <si>
    <t>118, 105</t>
  </si>
  <si>
    <t>Hebreos 10, 32-39</t>
  </si>
  <si>
    <t>Salmo 36, 3-4. 5-6. 23-24. 39-40</t>
  </si>
  <si>
    <t>Hebreos 11, 1-2. 8-19</t>
  </si>
  <si>
    <t>Lucas 1, 69-70. 71-72. 73-75 </t>
  </si>
  <si>
    <t>Hebreos 11, 32-40</t>
  </si>
  <si>
    <t>Salmo 30, 20. 21. 22. 23. 24</t>
  </si>
  <si>
    <t>Hebreos 12, 1-4</t>
  </si>
  <si>
    <t>Salmo 21, 26b-27. 28 y 30. 31-32</t>
  </si>
  <si>
    <t>Hebreos 12, 4-7. 11-15</t>
  </si>
  <si>
    <t>Salmo 102, 1-2. 13-14. 17-18a</t>
  </si>
  <si>
    <t>Hebreos 12, 18-19. 21-24</t>
  </si>
  <si>
    <t>Salmo 47, 2-3ab. 3cd-4. 9. 10-11</t>
  </si>
  <si>
    <t>Hebreos 13, 1-8</t>
  </si>
  <si>
    <t>Salmo 26, 1. 3. 5. 8b-9abc</t>
  </si>
  <si>
    <t>Hebreos 13, 15-17. 20-21</t>
  </si>
  <si>
    <t>Marcos 6 ,30-34</t>
  </si>
  <si>
    <t>Génesis 1, 1-19</t>
  </si>
  <si>
    <t>Salmo 103, 1-2a. 5-6. 10 y 12. 24 y 35c</t>
  </si>
  <si>
    <t>Génesis 1, 20—2, 4a</t>
  </si>
  <si>
    <t>Salmo 8, 4-5. 6-7. 8-9</t>
  </si>
  <si>
    <t>Génesis 2, 4b-9. 15-17</t>
  </si>
  <si>
    <t>Salmo 103, 1-2a. 27-28. 29bc-30</t>
  </si>
  <si>
    <t>Génesis 2, 18-25</t>
  </si>
  <si>
    <t>St 1, 21bc</t>
  </si>
  <si>
    <t>Génesis 3, 1-8</t>
  </si>
  <si>
    <t>Salmo 31, 1-2. 5. 6. 7</t>
  </si>
  <si>
    <t>Génesis 3, 9-24</t>
  </si>
  <si>
    <t>Salmo 89, 2. 3-4. 5-6. 12-13</t>
  </si>
  <si>
    <t>Génesis 4, 1-15. 25</t>
  </si>
  <si>
    <t>Salmo 49, 1 y 8. 16bc-17. 20-21</t>
  </si>
  <si>
    <t>Génesis 6, 5-8; 7, 1-5. 10</t>
  </si>
  <si>
    <t>Salmo 28, 1a y 2. 3ac-4. 3b y 9c-10</t>
  </si>
  <si>
    <t>Génesis 8, 6-13. 20-22</t>
  </si>
  <si>
    <t>Salmo 115, 12-13. 14-15. 18-19</t>
  </si>
  <si>
    <t>Génesis 9, 1-13</t>
  </si>
  <si>
    <t>Génesis 11, 1-9</t>
  </si>
  <si>
    <t>Salmo 32, 10-11. 12-13. 14-15</t>
  </si>
  <si>
    <t>Hebreos 11, 1-7</t>
  </si>
  <si>
    <t>Salmo 144, 2-3. 4-5. 10-11</t>
  </si>
  <si>
    <t>Marcos 9, 2-13</t>
  </si>
  <si>
    <t>Sirácida 1, 1-10</t>
  </si>
  <si>
    <t>Salmo 92, 1ab. 1c-2. 5</t>
  </si>
  <si>
    <t>Sirácida 2, 1-13</t>
  </si>
  <si>
    <t>Salmo 36, 3-4. 18-19. 27-28. 39-40 </t>
  </si>
  <si>
    <t>Sirácida 4, 12-22</t>
  </si>
  <si>
    <t>Salmo 118, 165. 168. 171. 172. 174. 175</t>
  </si>
  <si>
    <t>Sirácida 5, 1-10</t>
  </si>
  <si>
    <t>Sirácida 6, 5-17</t>
  </si>
  <si>
    <t>Salmo 118, 12. 16. 18. 27. 34. 35</t>
  </si>
  <si>
    <t>Sirácida 17, 1-13</t>
  </si>
  <si>
    <t>Salmo 102, 13-14. 15-16. 17-18a</t>
  </si>
  <si>
    <t>Sirácida 17, 20-28</t>
  </si>
  <si>
    <t>Sirácida 35, 1-15</t>
  </si>
  <si>
    <t>Salmo 49, 5-6. 7-8. 14 y 23</t>
  </si>
  <si>
    <t>Sirácida 36, 1-2a. 5-6. 13-19</t>
  </si>
  <si>
    <t>Salmo 78, 8. 9. 11. 13</t>
  </si>
  <si>
    <t>Sirácida 42, 15-26</t>
  </si>
  <si>
    <t>Salmo 32, 2-3. 4-5. 6-7. 8-9</t>
  </si>
  <si>
    <t>Sirácida 44, 1. 9-13</t>
  </si>
  <si>
    <t>Salmo149, 1-2. 3-4. 5-6a y 9b</t>
  </si>
  <si>
    <t>Sirácida 51, 17-27</t>
  </si>
  <si>
    <t>Col 3, 16a. 17c</t>
  </si>
  <si>
    <t>Tobías 1, 3; 2, 1b-8</t>
  </si>
  <si>
    <t>Tobías 2, 9-14</t>
  </si>
  <si>
    <t>Salmo 111, 1-2. 7-8. 9</t>
  </si>
  <si>
    <t>Tobías 3, 1-11a. 16-17a</t>
  </si>
  <si>
    <t>Salmo 24, 2-3a. 4-5ab. 6-7bc. 8-9</t>
  </si>
  <si>
    <t>Tobías 6, 10-11; 7, 1. 9-17; 8, 4-9a</t>
  </si>
  <si>
    <t>Tobías 11, 5-17</t>
  </si>
  <si>
    <t>Salmo 145, 1-2. 6b-7. 8-9a. 9bc-10 </t>
  </si>
  <si>
    <t>Tobías 12, 1. 5-15. 20</t>
  </si>
  <si>
    <t>Tobías 13, 2. 6. 7. 8</t>
  </si>
  <si>
    <t>2 Corintios 1, 1-7</t>
  </si>
  <si>
    <t>Salmo 33, 2-3. 4-5. 6-7. 8-9</t>
  </si>
  <si>
    <t>Mt 5, 12a</t>
  </si>
  <si>
    <t>2 Corintios 1, 18-22</t>
  </si>
  <si>
    <t>Salmo 118, 129. 130. 131. 132. 133. 135</t>
  </si>
  <si>
    <t>Mateo 5 13-16</t>
  </si>
  <si>
    <t>2 Corintios 3, 4-11</t>
  </si>
  <si>
    <t>Salmo 98, 5. 6. 7. 8. 9 </t>
  </si>
  <si>
    <t>2 Corintios 3, 15—4, 1. 3-6</t>
  </si>
  <si>
    <t>2 Corintios 4, 7-15</t>
  </si>
  <si>
    <t>Salmo 115, 10-11. 15-16. 17-18</t>
  </si>
  <si>
    <t>2 Corintios 5, 14-21</t>
  </si>
  <si>
    <t>2 Corintios 6, 1-10</t>
  </si>
  <si>
    <t>Salmo 97, 1. 2-3ab. 3cd-4</t>
  </si>
  <si>
    <t>2 Corintios 8, 1-9</t>
  </si>
  <si>
    <t>Salmo 145, 2. 5-6. 7. 8-9a</t>
  </si>
  <si>
    <t>2 Corintios 9, 6-11</t>
  </si>
  <si>
    <t>Salmo 111, 1-2. 3-4. 9</t>
  </si>
  <si>
    <t>2 Corintios 11, 1-11</t>
  </si>
  <si>
    <t>Salmo 110, 1-2. 3-4. 7-8 </t>
  </si>
  <si>
    <t>2 Corintios 11, 18. 21b-30</t>
  </si>
  <si>
    <t>2 Corintios 12, 1-10</t>
  </si>
  <si>
    <t>Salmo 33, 8-9. 10-11. 12-13</t>
  </si>
  <si>
    <t>Génesis 12, 1-9</t>
  </si>
  <si>
    <t>Salmo 32, 12-13. 18-19. 20 y 22</t>
  </si>
  <si>
    <t>Génesis 13, 2. 5-18</t>
  </si>
  <si>
    <t>Salmo 14, 2-3a. 3bc-4ab. 5</t>
  </si>
  <si>
    <t>Génesis 15, 1-12. 17-18</t>
  </si>
  <si>
    <t>Jn 15, 4a. 5b</t>
  </si>
  <si>
    <t>Génesis 16 ,1-12. 15-16 / Génesis 16, 6b-12, 15-16</t>
  </si>
  <si>
    <t>Salmo 105, 1-2. 3-4a. 4b-5</t>
  </si>
  <si>
    <t>Génesis 17, 1. 9-10. 15-22</t>
  </si>
  <si>
    <t>Génesis 18, 1-15</t>
  </si>
  <si>
    <t>Lucas 1, 46-47. 48-49. 50 y 53. 54-55</t>
  </si>
  <si>
    <t>Génesis 18, 16-33</t>
  </si>
  <si>
    <t>Salmo 102, 1-2. 3-4. 8-9. 10-11</t>
  </si>
  <si>
    <t>Sal 94 ,8ab</t>
  </si>
  <si>
    <t>Génesis 19, 15-29</t>
  </si>
  <si>
    <t>Salmo 25. 2-3. 9-10. 11-12</t>
  </si>
  <si>
    <t>Génesis 21, 5. 8-20</t>
  </si>
  <si>
    <t>Salmo 33, 7-8. 10-11. 12-13</t>
  </si>
  <si>
    <t>Génesis 22, 1-19</t>
  </si>
  <si>
    <t>Salmo 114, 1-2. 3-4. 5-6. 8-9 </t>
  </si>
  <si>
    <t>Génesis 23, 1-4. 19; 24, 1-8. 62-67</t>
  </si>
  <si>
    <t>Génesis 27, 1-5. 15-29</t>
  </si>
  <si>
    <t>Salmo 134, 1-2. 3-4. 5-6</t>
  </si>
  <si>
    <t>Génesis 28, 10-22a</t>
  </si>
  <si>
    <t>Salmo 90, 1-2. 3-4. 14-15ab</t>
  </si>
  <si>
    <t>Génesis 32, 22-32</t>
  </si>
  <si>
    <t>Salmo 16, 1. 2-3. 6-7. 8 y 15</t>
  </si>
  <si>
    <t>Génesis 41, 55-57; 42, 5-7.1 7-24a</t>
  </si>
  <si>
    <t>Salmo 32, 2-3. 10-11. 18-19</t>
  </si>
  <si>
    <t>Génesis 44, 18-21. 23b-29; 45, 1-5</t>
  </si>
  <si>
    <t>Salmo 104, 16-17. 18-19. 20-21</t>
  </si>
  <si>
    <t>Génesis 46, 1-7. 28-30</t>
  </si>
  <si>
    <t>Salmo 36, 3-4. 18-19. 27-28. 39-40</t>
  </si>
  <si>
    <t>Jn 16, 13a; 14, 26d</t>
  </si>
  <si>
    <t>Génesis 49, 29-32; 50, 15-26a</t>
  </si>
  <si>
    <t>Salmo 104, 1-2. 3-4. 6-7 </t>
  </si>
  <si>
    <t>Éxodo 1, 8-14. 22</t>
  </si>
  <si>
    <t>Salmo 123, 1-3. 4-6. 7-8</t>
  </si>
  <si>
    <t>Éxodo 2, 1-15a</t>
  </si>
  <si>
    <t>Salmo 68, 3. 14. 30-31. 33-34</t>
  </si>
  <si>
    <t>Éxodo 3, 1-6. 9-12</t>
  </si>
  <si>
    <t>Salmo 102, 1-2. 3-4. 6-7 </t>
  </si>
  <si>
    <t>Éxodo 3, 13-20</t>
  </si>
  <si>
    <t>Salmo 104, 1 y 5. 8-9. 24-25. 26-27 </t>
  </si>
  <si>
    <t>Éxodo 11, 10—12, 14</t>
  </si>
  <si>
    <t>Éxodo 12, 37-42</t>
  </si>
  <si>
    <t>Salmo 135, 1. 23. 24. 10. 12. 13-15</t>
  </si>
  <si>
    <t>Éxodo 14, 5-18</t>
  </si>
  <si>
    <t>Éxodo 15, 1-2. 3-4. 5-6</t>
  </si>
  <si>
    <t>Éxodo 14, 21—15, 1</t>
  </si>
  <si>
    <t>Éxodo 15, 8-9. 10 y 12. 17, 17 </t>
  </si>
  <si>
    <t>Éxodo 16, 1-5. 9-15</t>
  </si>
  <si>
    <t>Salmo 77, 18-19. 23-24. 25-26. 27-28</t>
  </si>
  <si>
    <t>Éxodo 19, 1-2. 9-11. 16-20b</t>
  </si>
  <si>
    <t>Éxodo 20, 1-17</t>
  </si>
  <si>
    <t>Salmo 18, 8. 9. 10. 11 </t>
  </si>
  <si>
    <t>Éxodo 24, 3-8</t>
  </si>
  <si>
    <t>Salmo 49, 1-2. 5-6. 14-15 </t>
  </si>
  <si>
    <t>Éxodo 32, 15-24. 30-34</t>
  </si>
  <si>
    <t>Salmo 105, 19-20. 21-22. 23 </t>
  </si>
  <si>
    <t>Éxodo 33, 7-11; 34, 5b-9. 28</t>
  </si>
  <si>
    <t>Salmo 102, 6-7. 8-9. 10-11. 12-13 </t>
  </si>
  <si>
    <t>Éxodo 34, 29-35</t>
  </si>
  <si>
    <t>Salmo 98, 5. 6. 7. 9 </t>
  </si>
  <si>
    <t>Éxodo 40, 16-21. 34-38</t>
  </si>
  <si>
    <t>Salmo 83, 3. 4. 5-6a y 8a. 11</t>
  </si>
  <si>
    <t>Levítico 23, 1. 4-11. 15-16. 27. 34b-37</t>
  </si>
  <si>
    <t>Salmo 80, 3-4. 5-6ab. 10-11ab</t>
  </si>
  <si>
    <t>Levítico 25, 1. 8-17</t>
  </si>
  <si>
    <t>Salmo 66, 2-3. 5. 7-8 </t>
  </si>
  <si>
    <t>Números 11, 4b-15</t>
  </si>
  <si>
    <t>Salmo 80, 12-13. 14-15. 16-17</t>
  </si>
  <si>
    <t>Números 12, 1-13</t>
  </si>
  <si>
    <t>Salmo 50, 3-4. 5-6. 12-13</t>
  </si>
  <si>
    <t>Números 13, 1-2. 25—14, 1. 26-30. 34-35</t>
  </si>
  <si>
    <t>Salmo 105, 6-7a. 13-14. 21-22. 23</t>
  </si>
  <si>
    <t>Números 20, 1-13</t>
  </si>
  <si>
    <t>Salmo 94, 1-2. 6-7. 8-9 </t>
  </si>
  <si>
    <t>Deuteronomio 4, 32-40</t>
  </si>
  <si>
    <t>Salmo 76, 12-13. 14-15. 16 y 21 </t>
  </si>
  <si>
    <t>Mateo 16 ,24-28</t>
  </si>
  <si>
    <t>Deuteronomio 6, 4-13</t>
  </si>
  <si>
    <t>Salmo 17, 28-3a. 3bc-4. 47 y 51ab</t>
  </si>
  <si>
    <t>Deuteronomio 10, 12-22</t>
  </si>
  <si>
    <t>Deuteronomio 31, 1-8</t>
  </si>
  <si>
    <t>Deuteronomio 32, 3-4a. 7. 8. 9 y 12 </t>
  </si>
  <si>
    <t>Deuteronomio 34, 1-12</t>
  </si>
  <si>
    <t>Salmo 65, 1-3a. 5 y 8. 16-17 </t>
  </si>
  <si>
    <t>Josué 3, 7-10a. 11. 13-17</t>
  </si>
  <si>
    <t>Salmo 113A, 1-2. 3-4. 5-6</t>
  </si>
  <si>
    <t>Mateo 18, 21—19, 1</t>
  </si>
  <si>
    <t>Josué 24, 1-13</t>
  </si>
  <si>
    <t>Salmo 135, 1-3. 16-18. 21-22 y 24</t>
  </si>
  <si>
    <t>Josué 24, 14-29</t>
  </si>
  <si>
    <t>Jueces 2, 11-19</t>
  </si>
  <si>
    <t>Salmo 105, 34-35. 36-37. 39-40. 43ab y 44</t>
  </si>
  <si>
    <t>Jueces 6, 11-24a</t>
  </si>
  <si>
    <t>Jueces 9, 6-15</t>
  </si>
  <si>
    <t>Salmo 20, 2-3. 4-5. 6-7 </t>
  </si>
  <si>
    <t>Jueces 11, 29-39a</t>
  </si>
  <si>
    <t>Salmo 39, 5. 7-8a. 8b-9. 10</t>
  </si>
  <si>
    <t>Rut 1, 1. 3-6. 14b-16. 22</t>
  </si>
  <si>
    <t>Salmo 145, 5-6ab. 6c-7. 8-9a. 9bc-10</t>
  </si>
  <si>
    <t>Salmo 127, 1-2. 3. 4. 5 </t>
  </si>
  <si>
    <t>Mt 23, 9b. 10b</t>
  </si>
  <si>
    <t>Salmo 97, 1. 2-3ab. 3cd-4 </t>
  </si>
  <si>
    <t>Romanos 1, 16-25</t>
  </si>
  <si>
    <t>Salmo 18, 2-3. 4-5 </t>
  </si>
  <si>
    <t>Romanos 2, 1-11</t>
  </si>
  <si>
    <t>Salmo 61, 2-3. 6-7. 9</t>
  </si>
  <si>
    <t>Romanos 3, 21-30a</t>
  </si>
  <si>
    <t>Salmo 129, 1-2. 3-4. 5 </t>
  </si>
  <si>
    <t>Romanos 4, 1-8</t>
  </si>
  <si>
    <t>Salmo 31, 1-2. 5. 11</t>
  </si>
  <si>
    <t>Romanos 4, 13. 16-18</t>
  </si>
  <si>
    <t>Salmo 104, 6-7. 8-9. 42-43</t>
  </si>
  <si>
    <t>Romanos 4, 20-25</t>
  </si>
  <si>
    <t>Lucas 1, 69-70. 71-72. 73-75</t>
  </si>
  <si>
    <t>Romanos 5, 12. 15b. 17-19. 20b-21</t>
  </si>
  <si>
    <t>Romanos 6, 12-18</t>
  </si>
  <si>
    <t>Romanos 6, 19-23</t>
  </si>
  <si>
    <t>Romanos 7, 18-25a</t>
  </si>
  <si>
    <t>Salmo 118, 66. 68. 76. 77. 93. 94</t>
  </si>
  <si>
    <t>Romanos 8, 1-11</t>
  </si>
  <si>
    <t>Ez 33, 11</t>
  </si>
  <si>
    <t>Romanos 8, 12-17</t>
  </si>
  <si>
    <t>Salmo 67, 2 y 4. 6-7ab. 20-21</t>
  </si>
  <si>
    <t>Romanos 8, 18-25</t>
  </si>
  <si>
    <t>Romanos 8, 26-30</t>
  </si>
  <si>
    <t>Salmo 12, 4-5. 6</t>
  </si>
  <si>
    <t>Romanos 8, 31b-39</t>
  </si>
  <si>
    <t>Salmo 108, 21-22. 26-27. 30-31</t>
  </si>
  <si>
    <t>Romanos 9, 1-5</t>
  </si>
  <si>
    <t>Romanos 11, 1-2a. 11-12. 25-29</t>
  </si>
  <si>
    <t>Salmo 93, 12-13a. 14-15. 17-18</t>
  </si>
  <si>
    <t>Romanos 11 ,29-36</t>
  </si>
  <si>
    <t>Salmo 68, 30-31. 33-34. 36-37 </t>
  </si>
  <si>
    <t>Romanos 12, 5-16a</t>
  </si>
  <si>
    <t>Romanos 13, 8-10</t>
  </si>
  <si>
    <t>Salmo 111, 1-2. 4-5. 9 </t>
  </si>
  <si>
    <t>Romanos 14 ,7-12</t>
  </si>
  <si>
    <t>Romanos 15, 14-21</t>
  </si>
  <si>
    <t>Romanos 16, 3-9. 16. 22-27</t>
  </si>
  <si>
    <t>Sabiduría 1, 1-7</t>
  </si>
  <si>
    <t>Salmo 138, 1-3a. 3b-6. 7-8. 9-10 </t>
  </si>
  <si>
    <t>Sabiduría 2, 23—3, 9</t>
  </si>
  <si>
    <t>Salmo 33, 2-3. 16-17. 18-19</t>
  </si>
  <si>
    <t>Sabiduría 6, 1-11</t>
  </si>
  <si>
    <t>Salmo 81, 3-4. 6-7</t>
  </si>
  <si>
    <t>Sabiduría 7, 22—8, 1</t>
  </si>
  <si>
    <t>Salmo 118, 89. 90. 91. 130. 135. 175</t>
  </si>
  <si>
    <t>Sabiduría 13, 1-9</t>
  </si>
  <si>
    <t>Sabiduría 18, 14-16; 19, 6-9</t>
  </si>
  <si>
    <t>Salmo 104, 2-3. 36-37. 42-43</t>
  </si>
  <si>
    <t>Macabeos 1, 10-15. 41-43. 54-57. 62-64</t>
  </si>
  <si>
    <t>Salmo 118, 53. 61. 134. 150. 155. 158</t>
  </si>
  <si>
    <t>Salmo 3, 2-3. 4-5. 6-7</t>
  </si>
  <si>
    <t>Salmo 16, 1. 56. 8ab y 15</t>
  </si>
  <si>
    <t>Salmo 49, 1-2. 5-6. 14-15</t>
  </si>
  <si>
    <t>1Crónicas 29, 10. 11abc. 11d-12a. 12bcd</t>
  </si>
  <si>
    <t>1 Macabeos 6, 1-13</t>
  </si>
  <si>
    <t>1 Macabeos 4, 36-37. 52-59</t>
  </si>
  <si>
    <t>1 Macabeos 2, 15-29</t>
  </si>
  <si>
    <t>1 Macabeos 6, 18-31</t>
  </si>
  <si>
    <t>1 Macabeos 7, 1. 20-31</t>
  </si>
  <si>
    <t>Salmo 9, 2-3. 4 y 6. 16 y 19</t>
  </si>
  <si>
    <t>Daniel 1, 1-6. 8-20</t>
  </si>
  <si>
    <t>Daniel 2, 31-45</t>
  </si>
  <si>
    <t>Daniel 3, 57. 58. 59. 60. 61.</t>
  </si>
  <si>
    <t>Daniel 5, 1-6. 13-14. 16-17. 23-28</t>
  </si>
  <si>
    <t>Daniel 3, 62. 63. 64. 65. 66. 67</t>
  </si>
  <si>
    <t>Daniel 6, 12-28</t>
  </si>
  <si>
    <t>Daniel 3, 68. 69. 70. 71. 72. 73. 74</t>
  </si>
  <si>
    <t>Lucas 21, 20-28</t>
  </si>
  <si>
    <t>Daniel 7, 2-14</t>
  </si>
  <si>
    <t>Daniel 3, 75. 76. 77. 78. 79. 80. 81</t>
  </si>
  <si>
    <t>Daniel 7, 15-27</t>
  </si>
  <si>
    <t>Daniel 3, 82. 83. 84. 85. 86. 87</t>
  </si>
  <si>
    <t>JUEVES</t>
  </si>
  <si>
    <t>VIERNES</t>
  </si>
  <si>
    <t>SABADO</t>
  </si>
  <si>
    <t>MIERCOLES</t>
  </si>
  <si>
    <t>LUNES</t>
  </si>
  <si>
    <t>MARTES</t>
  </si>
  <si>
    <t>Total (USD) 456.43 Total (Tipo de Cambio: 61.10 DOP) 27,887.87</t>
  </si>
  <si>
    <t>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</si>
</sst>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8" x14ac:knownFonts="1">
    <font>
      <sz val="11"/>
      <color theme="1"/>
      <name val="Aptos Narrow"/>
      <family val="2"/>
      <scheme val="minor"/>
    </font>
    <font>
      <b/>
      <sz val="7"/>
      <color rgb="FF000000"/>
      <name val="Verdana"/>
      <family val="2"/>
    </font>
    <font>
      <sz val="7"/>
      <color rgb="FFFF0000"/>
      <name val="Verdana"/>
      <family val="2"/>
    </font>
    <font>
      <sz val="11"/>
      <color rgb="FF0061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7"/>
      <color rgb="FF6A9955"/>
      <name val="Consolas"/>
      <family val="3"/>
    </font>
    <font>
      <sz val="15"/>
      <color rgb="FF6A9955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1" applyNumberFormat="0" applyAlignment="0" applyProtection="0"/>
    <xf numFmtId="43" fontId="5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 applyAlignment="1">
      <alignment horizontal="left" vertical="center" wrapText="1" indent="1"/>
    </xf>
    <xf numFmtId="0" fontId="1" fillId="0" borderId="0" xfId="0" applyFont="1"/>
    <xf numFmtId="0" fontId="2" fillId="0" borderId="0" xfId="0" applyFont="1"/>
    <xf numFmtId="0" fontId="3" fillId="2" borderId="0" xfId="1"/>
    <xf numFmtId="0" fontId="4" fillId="3" borderId="1" xfId="2"/>
    <xf numFmtId="0" fontId="6" fillId="0" borderId="0" xfId="0" applyFont="1" applyAlignment="1">
      <alignment vertical="center"/>
    </xf>
    <xf numFmtId="43" fontId="0" fillId="0" borderId="0" xfId="3" applyFont="1"/>
    <xf numFmtId="43" fontId="0" fillId="0" borderId="0" xfId="0" applyNumberFormat="1"/>
    <xf numFmtId="0" fontId="7" fillId="0" borderId="0" xfId="0" applyFont="1" applyAlignment="1">
      <alignment vertical="center"/>
    </xf>
  </cellXfs>
  <cellStyles count="4">
    <cellStyle name="Comma" xfId="3" builtinId="3"/>
    <cellStyle name="Good" xfId="1" builtinId="26"/>
    <cellStyle name="Input" xfId="2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rvicioskoinonia.org/leccionario/Libro_04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C50CC-0950-4C80-A067-6CCB3F4EAE54}">
  <dimension ref="A1:L114"/>
  <sheetViews>
    <sheetView topLeftCell="A63" zoomScale="145" zoomScaleNormal="145" workbookViewId="0">
      <selection activeCell="A70" sqref="A70:XFD81"/>
    </sheetView>
  </sheetViews>
  <sheetFormatPr defaultRowHeight="15" x14ac:dyDescent="0.25"/>
  <cols>
    <col min="1" max="1" width="12.42578125" bestFit="1" customWidth="1"/>
    <col min="2" max="2" width="10.85546875" customWidth="1"/>
    <col min="3" max="3" width="19.42578125" bestFit="1" customWidth="1"/>
    <col min="4" max="4" width="31.140625" bestFit="1" customWidth="1"/>
    <col min="5" max="5" width="37.5703125" bestFit="1" customWidth="1"/>
    <col min="6" max="6" width="15" customWidth="1"/>
    <col min="7" max="7" width="27.42578125" bestFit="1" customWidth="1"/>
    <col min="8" max="8" width="8.140625" customWidth="1"/>
    <col min="9" max="10" width="33.85546875" customWidth="1"/>
  </cols>
  <sheetData>
    <row r="1" spans="1:10" x14ac:dyDescent="0.25">
      <c r="A1" t="s">
        <v>30</v>
      </c>
      <c r="B1" t="s">
        <v>1</v>
      </c>
      <c r="C1" t="s">
        <v>3</v>
      </c>
      <c r="D1" t="s">
        <v>4</v>
      </c>
      <c r="E1" t="s">
        <v>5</v>
      </c>
      <c r="F1" t="s">
        <v>7</v>
      </c>
      <c r="I1" t="s">
        <v>8</v>
      </c>
    </row>
    <row r="2" spans="1:10" x14ac:dyDescent="0.25">
      <c r="A2" t="s">
        <v>31</v>
      </c>
      <c r="B2" t="s">
        <v>0</v>
      </c>
      <c r="C2" t="s">
        <v>2</v>
      </c>
      <c r="D2" t="s">
        <v>11</v>
      </c>
      <c r="E2" t="s">
        <v>10</v>
      </c>
      <c r="F2" t="s">
        <v>6</v>
      </c>
      <c r="G2" t="str">
        <f t="shared" ref="G2:G5" si="0">IF(J2="",I2,_xlfn.CONCAT(I2," / ",J2))</f>
        <v>Mateo 24, 37-44</v>
      </c>
      <c r="I2" t="s">
        <v>9</v>
      </c>
    </row>
    <row r="3" spans="1:10" x14ac:dyDescent="0.25">
      <c r="A3" t="s">
        <v>31</v>
      </c>
      <c r="B3" t="s">
        <v>13</v>
      </c>
      <c r="C3" t="s">
        <v>12</v>
      </c>
      <c r="D3" t="s">
        <v>14</v>
      </c>
      <c r="E3" t="s">
        <v>15</v>
      </c>
      <c r="F3" t="s">
        <v>16</v>
      </c>
      <c r="G3" t="str">
        <f t="shared" si="0"/>
        <v>Mateo: 3, 1-12</v>
      </c>
      <c r="I3" t="s">
        <v>17</v>
      </c>
    </row>
    <row r="4" spans="1:10" x14ac:dyDescent="0.25">
      <c r="A4" t="s">
        <v>31</v>
      </c>
      <c r="B4" t="s">
        <v>19</v>
      </c>
      <c r="C4" t="s">
        <v>18</v>
      </c>
      <c r="D4" t="s">
        <v>20</v>
      </c>
      <c r="E4" t="s">
        <v>21</v>
      </c>
      <c r="F4" t="s">
        <v>22</v>
      </c>
      <c r="G4" t="str">
        <f t="shared" si="0"/>
        <v>Mateo 11, 2-11</v>
      </c>
      <c r="I4" t="s">
        <v>23</v>
      </c>
    </row>
    <row r="5" spans="1:10" x14ac:dyDescent="0.25">
      <c r="A5" t="s">
        <v>31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tr">
        <f t="shared" si="0"/>
        <v>Mateo 1, 18-24</v>
      </c>
      <c r="I5" t="s">
        <v>29</v>
      </c>
    </row>
    <row r="6" spans="1:10" x14ac:dyDescent="0.25">
      <c r="A6" t="s">
        <v>32</v>
      </c>
      <c r="B6" t="s">
        <v>33</v>
      </c>
      <c r="C6" t="s">
        <v>34</v>
      </c>
      <c r="D6" t="s">
        <v>35</v>
      </c>
      <c r="E6" t="s">
        <v>36</v>
      </c>
      <c r="F6" t="s">
        <v>38</v>
      </c>
      <c r="G6" t="str">
        <f>IF(J6="",I6,_xlfn.CONCAT(I6," / ",J6))</f>
        <v>Mateo 1, 1-25 / Mateo 1, 18-25</v>
      </c>
      <c r="I6" t="s">
        <v>37</v>
      </c>
      <c r="J6" t="s">
        <v>39</v>
      </c>
    </row>
    <row r="7" spans="1:10" x14ac:dyDescent="0.25">
      <c r="A7" t="s">
        <v>32</v>
      </c>
      <c r="B7" t="s">
        <v>40</v>
      </c>
      <c r="C7" t="s">
        <v>41</v>
      </c>
      <c r="D7" t="s">
        <v>42</v>
      </c>
      <c r="E7" t="s">
        <v>43</v>
      </c>
      <c r="F7" t="s">
        <v>44</v>
      </c>
      <c r="G7" t="str">
        <f t="shared" ref="G7:G69" si="1">IF(J7="",I7,_xlfn.CONCAT(I7," / ",J7))</f>
        <v>Lucas 2, 1-14</v>
      </c>
      <c r="I7" t="s">
        <v>45</v>
      </c>
    </row>
    <row r="8" spans="1:10" x14ac:dyDescent="0.25">
      <c r="A8" t="s">
        <v>32</v>
      </c>
      <c r="B8" t="s">
        <v>46</v>
      </c>
      <c r="C8" t="s">
        <v>47</v>
      </c>
      <c r="D8" t="s">
        <v>48</v>
      </c>
      <c r="E8" t="s">
        <v>49</v>
      </c>
      <c r="F8" t="s">
        <v>50</v>
      </c>
      <c r="G8" t="str">
        <f t="shared" si="1"/>
        <v>Lucas 2, 15-20</v>
      </c>
      <c r="I8" t="s">
        <v>51</v>
      </c>
    </row>
    <row r="9" spans="1:10" x14ac:dyDescent="0.25">
      <c r="A9" t="s">
        <v>32</v>
      </c>
      <c r="B9" t="s">
        <v>52</v>
      </c>
      <c r="C9" t="s">
        <v>53</v>
      </c>
      <c r="D9" t="s">
        <v>54</v>
      </c>
      <c r="E9" t="s">
        <v>55</v>
      </c>
      <c r="F9" t="s">
        <v>56</v>
      </c>
      <c r="G9" t="str">
        <f t="shared" si="1"/>
        <v>Juan 1, 1-18 / Juan 1, 1-5. 9-14</v>
      </c>
      <c r="I9" t="s">
        <v>57</v>
      </c>
      <c r="J9" t="s">
        <v>58</v>
      </c>
    </row>
    <row r="10" spans="1:10" x14ac:dyDescent="0.25">
      <c r="A10" t="s">
        <v>31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tr">
        <f t="shared" si="1"/>
        <v>Mateo 2, 13-15. 19-23</v>
      </c>
      <c r="I10" t="s">
        <v>64</v>
      </c>
    </row>
    <row r="11" spans="1:10" x14ac:dyDescent="0.25">
      <c r="A11" t="s">
        <v>66</v>
      </c>
      <c r="B11" t="s">
        <v>67</v>
      </c>
      <c r="C11" t="s">
        <v>65</v>
      </c>
      <c r="D11" t="s">
        <v>68</v>
      </c>
      <c r="E11" t="s">
        <v>69</v>
      </c>
      <c r="F11" t="s">
        <v>70</v>
      </c>
      <c r="G11" t="str">
        <f t="shared" si="1"/>
        <v>Lucas 2, 16-21</v>
      </c>
      <c r="I11" t="s">
        <v>71</v>
      </c>
    </row>
    <row r="12" spans="1:10" x14ac:dyDescent="0.25">
      <c r="A12" t="s">
        <v>32</v>
      </c>
      <c r="B12" t="s">
        <v>72</v>
      </c>
      <c r="C12" t="s">
        <v>73</v>
      </c>
      <c r="D12" t="s">
        <v>74</v>
      </c>
      <c r="E12" t="s">
        <v>75</v>
      </c>
      <c r="F12" t="s">
        <v>76</v>
      </c>
      <c r="G12" t="str">
        <f t="shared" si="1"/>
        <v>Juan 1, 1-18 / Juan 1, 1-5. 9-14</v>
      </c>
      <c r="I12" t="s">
        <v>57</v>
      </c>
      <c r="J12" t="s">
        <v>58</v>
      </c>
    </row>
    <row r="13" spans="1:10" x14ac:dyDescent="0.25">
      <c r="A13" t="s">
        <v>78</v>
      </c>
      <c r="B13" t="s">
        <v>77</v>
      </c>
      <c r="C13" t="s">
        <v>79</v>
      </c>
      <c r="D13" t="s">
        <v>80</v>
      </c>
      <c r="E13" t="s">
        <v>81</v>
      </c>
      <c r="F13" t="s">
        <v>93</v>
      </c>
      <c r="G13" t="str">
        <f t="shared" si="1"/>
        <v>Mateo 2, 1-12</v>
      </c>
      <c r="I13" t="s">
        <v>82</v>
      </c>
    </row>
    <row r="14" spans="1:10" x14ac:dyDescent="0.25">
      <c r="A14" t="s">
        <v>31</v>
      </c>
      <c r="B14" t="s">
        <v>83</v>
      </c>
      <c r="C14" t="s">
        <v>84</v>
      </c>
      <c r="D14" t="s">
        <v>85</v>
      </c>
      <c r="E14" t="s">
        <v>86</v>
      </c>
      <c r="F14" t="s">
        <v>87</v>
      </c>
      <c r="G14" t="str">
        <f t="shared" si="1"/>
        <v>Mateo 3, 13-17</v>
      </c>
      <c r="I14" t="s">
        <v>88</v>
      </c>
    </row>
    <row r="15" spans="1:10" x14ac:dyDescent="0.25">
      <c r="A15" t="s">
        <v>31</v>
      </c>
      <c r="B15" t="s">
        <v>89</v>
      </c>
      <c r="C15" t="s">
        <v>90</v>
      </c>
      <c r="D15" t="s">
        <v>91</v>
      </c>
      <c r="E15" t="s">
        <v>92</v>
      </c>
      <c r="F15" t="s">
        <v>94</v>
      </c>
      <c r="G15" t="str">
        <f t="shared" si="1"/>
        <v>Mateo 4, 1-11</v>
      </c>
      <c r="I15" t="s">
        <v>95</v>
      </c>
    </row>
    <row r="16" spans="1:10" x14ac:dyDescent="0.25">
      <c r="A16" t="s">
        <v>31</v>
      </c>
      <c r="B16" t="s">
        <v>96</v>
      </c>
      <c r="C16" t="s">
        <v>97</v>
      </c>
      <c r="D16" t="s">
        <v>98</v>
      </c>
      <c r="E16" t="s">
        <v>99</v>
      </c>
      <c r="F16" t="s">
        <v>100</v>
      </c>
      <c r="G16" t="str">
        <f t="shared" si="1"/>
        <v>Mateo 17, 1-9</v>
      </c>
      <c r="I16" t="s">
        <v>101</v>
      </c>
    </row>
    <row r="17" spans="1:10" x14ac:dyDescent="0.25">
      <c r="A17" t="s">
        <v>31</v>
      </c>
      <c r="B17" t="s">
        <v>102</v>
      </c>
      <c r="C17" t="s">
        <v>103</v>
      </c>
      <c r="D17" t="s">
        <v>104</v>
      </c>
      <c r="E17" t="s">
        <v>105</v>
      </c>
      <c r="F17" t="s">
        <v>106</v>
      </c>
      <c r="G17" t="str">
        <f t="shared" si="1"/>
        <v>Juan 4, 5-42 / Juan 4, 5-15. 19b-26. 39a. 40-42</v>
      </c>
      <c r="I17" t="s">
        <v>107</v>
      </c>
      <c r="J17" t="s">
        <v>108</v>
      </c>
    </row>
    <row r="18" spans="1:10" x14ac:dyDescent="0.25">
      <c r="A18" t="s">
        <v>31</v>
      </c>
      <c r="B18" t="s">
        <v>109</v>
      </c>
      <c r="C18" t="s">
        <v>110</v>
      </c>
      <c r="D18" t="s">
        <v>111</v>
      </c>
      <c r="E18" t="s">
        <v>112</v>
      </c>
      <c r="F18" t="s">
        <v>113</v>
      </c>
      <c r="G18" t="str">
        <f t="shared" si="1"/>
        <v>Juan 9, 1-41 / Juan 9, 1. 6-9. 13-17. 34-38</v>
      </c>
      <c r="I18" t="s">
        <v>114</v>
      </c>
      <c r="J18" t="s">
        <v>115</v>
      </c>
    </row>
    <row r="19" spans="1:10" x14ac:dyDescent="0.25">
      <c r="A19" t="s">
        <v>31</v>
      </c>
      <c r="B19" t="s">
        <v>116</v>
      </c>
      <c r="C19" t="s">
        <v>117</v>
      </c>
      <c r="D19" t="s">
        <v>118</v>
      </c>
      <c r="E19" t="s">
        <v>119</v>
      </c>
      <c r="F19" t="s">
        <v>120</v>
      </c>
      <c r="G19" t="str">
        <f t="shared" si="1"/>
        <v>Juan 11, 1-45 / Juan 11, 3-7. 17. 20-27. 33b-45</v>
      </c>
      <c r="I19" t="s">
        <v>121</v>
      </c>
      <c r="J19" t="s">
        <v>122</v>
      </c>
    </row>
    <row r="20" spans="1:10" x14ac:dyDescent="0.25">
      <c r="A20" t="s">
        <v>31</v>
      </c>
      <c r="B20" t="s">
        <v>123</v>
      </c>
      <c r="C20" t="s">
        <v>124</v>
      </c>
      <c r="D20" t="s">
        <v>125</v>
      </c>
      <c r="E20" t="s">
        <v>126</v>
      </c>
      <c r="F20" t="s">
        <v>127</v>
      </c>
      <c r="G20" t="str">
        <f t="shared" si="1"/>
        <v>Mateo 26, 14—27, 66</v>
      </c>
      <c r="I20" t="s">
        <v>128</v>
      </c>
    </row>
    <row r="21" spans="1:10" x14ac:dyDescent="0.25">
      <c r="A21" t="s">
        <v>32</v>
      </c>
      <c r="B21" t="s">
        <v>129</v>
      </c>
      <c r="C21" t="s">
        <v>130</v>
      </c>
      <c r="D21" t="s">
        <v>131</v>
      </c>
      <c r="E21" t="s">
        <v>132</v>
      </c>
      <c r="F21" t="s">
        <v>133</v>
      </c>
      <c r="G21" t="str">
        <f t="shared" si="1"/>
        <v>Juan 13, 1-15</v>
      </c>
      <c r="I21" t="s">
        <v>134</v>
      </c>
    </row>
    <row r="22" spans="1:10" x14ac:dyDescent="0.25">
      <c r="A22" t="s">
        <v>32</v>
      </c>
      <c r="B22" t="s">
        <v>135</v>
      </c>
      <c r="C22" t="s">
        <v>136</v>
      </c>
      <c r="D22" t="s">
        <v>137</v>
      </c>
      <c r="E22" t="s">
        <v>138</v>
      </c>
      <c r="F22" t="s">
        <v>127</v>
      </c>
      <c r="G22" t="str">
        <f t="shared" si="1"/>
        <v>Juan 18, 1—19, 42</v>
      </c>
      <c r="I22" t="s">
        <v>139</v>
      </c>
    </row>
    <row r="23" spans="1:10" x14ac:dyDescent="0.25">
      <c r="A23" t="s">
        <v>31</v>
      </c>
      <c r="B23" t="s">
        <v>140</v>
      </c>
      <c r="C23" t="s">
        <v>141</v>
      </c>
      <c r="G23">
        <f t="shared" si="1"/>
        <v>0</v>
      </c>
    </row>
    <row r="24" spans="1:10" x14ac:dyDescent="0.25">
      <c r="A24" t="s">
        <v>32</v>
      </c>
      <c r="B24" t="s">
        <v>142</v>
      </c>
      <c r="C24" t="s">
        <v>143</v>
      </c>
      <c r="D24" t="s">
        <v>144</v>
      </c>
      <c r="E24" t="s">
        <v>145</v>
      </c>
      <c r="F24" t="s">
        <v>146</v>
      </c>
      <c r="G24" t="str">
        <f t="shared" si="1"/>
        <v>Juan 20, 1-9</v>
      </c>
      <c r="I24" t="s">
        <v>147</v>
      </c>
    </row>
    <row r="25" spans="1:10" x14ac:dyDescent="0.25">
      <c r="A25" t="s">
        <v>31</v>
      </c>
      <c r="B25" t="s">
        <v>148</v>
      </c>
      <c r="C25" t="s">
        <v>149</v>
      </c>
      <c r="D25" t="s">
        <v>150</v>
      </c>
      <c r="E25" t="s">
        <v>157</v>
      </c>
      <c r="F25" t="s">
        <v>151</v>
      </c>
      <c r="G25" t="str">
        <f t="shared" si="1"/>
        <v>Juan 20, 19-31</v>
      </c>
      <c r="I25" t="s">
        <v>152</v>
      </c>
    </row>
    <row r="26" spans="1:10" x14ac:dyDescent="0.25">
      <c r="A26" t="s">
        <v>31</v>
      </c>
      <c r="B26" t="s">
        <v>155</v>
      </c>
      <c r="C26" t="s">
        <v>153</v>
      </c>
      <c r="D26" t="s">
        <v>154</v>
      </c>
      <c r="E26" t="s">
        <v>156</v>
      </c>
      <c r="F26" t="s">
        <v>158</v>
      </c>
      <c r="G26" t="str">
        <f t="shared" si="1"/>
        <v>Lucas 24, 13-35</v>
      </c>
      <c r="I26" t="s">
        <v>159</v>
      </c>
    </row>
    <row r="27" spans="1:10" x14ac:dyDescent="0.25">
      <c r="A27" t="s">
        <v>31</v>
      </c>
      <c r="B27" t="s">
        <v>160</v>
      </c>
      <c r="C27" t="s">
        <v>161</v>
      </c>
      <c r="D27" t="s">
        <v>111</v>
      </c>
      <c r="E27" t="s">
        <v>162</v>
      </c>
      <c r="F27" t="s">
        <v>163</v>
      </c>
      <c r="G27" t="str">
        <f t="shared" si="1"/>
        <v>Juan 10, 1-10</v>
      </c>
      <c r="I27" t="s">
        <v>164</v>
      </c>
    </row>
    <row r="28" spans="1:10" x14ac:dyDescent="0.25">
      <c r="A28" t="s">
        <v>31</v>
      </c>
      <c r="B28" t="s">
        <v>165</v>
      </c>
      <c r="C28" t="s">
        <v>166</v>
      </c>
      <c r="D28" t="s">
        <v>167</v>
      </c>
      <c r="E28" t="s">
        <v>168</v>
      </c>
      <c r="F28" t="s">
        <v>169</v>
      </c>
      <c r="G28" t="str">
        <f t="shared" si="1"/>
        <v>Juan 14, 1-12</v>
      </c>
      <c r="I28" t="s">
        <v>170</v>
      </c>
    </row>
    <row r="29" spans="1:10" x14ac:dyDescent="0.25">
      <c r="A29" t="s">
        <v>31</v>
      </c>
      <c r="B29" t="s">
        <v>171</v>
      </c>
      <c r="C29" t="s">
        <v>172</v>
      </c>
      <c r="D29" t="s">
        <v>173</v>
      </c>
      <c r="E29" t="s">
        <v>174</v>
      </c>
      <c r="F29" t="s">
        <v>175</v>
      </c>
      <c r="G29" t="str">
        <f t="shared" si="1"/>
        <v>Juan 14, 15-21</v>
      </c>
      <c r="I29" t="s">
        <v>176</v>
      </c>
    </row>
    <row r="30" spans="1:10" x14ac:dyDescent="0.25">
      <c r="A30" t="s">
        <v>31</v>
      </c>
      <c r="B30" t="s">
        <v>180</v>
      </c>
      <c r="C30" t="s">
        <v>181</v>
      </c>
      <c r="D30" t="s">
        <v>182</v>
      </c>
      <c r="E30" t="s">
        <v>183</v>
      </c>
      <c r="F30" t="s">
        <v>184</v>
      </c>
      <c r="G30" t="str">
        <f t="shared" si="1"/>
        <v>Mateo 28, 16-20</v>
      </c>
      <c r="I30" t="s">
        <v>185</v>
      </c>
    </row>
    <row r="31" spans="1:10" x14ac:dyDescent="0.25">
      <c r="A31" t="s">
        <v>31</v>
      </c>
      <c r="B31" t="s">
        <v>178</v>
      </c>
      <c r="C31" t="s">
        <v>186</v>
      </c>
      <c r="D31" t="s">
        <v>187</v>
      </c>
      <c r="E31" t="s">
        <v>177</v>
      </c>
      <c r="F31" t="s">
        <v>179</v>
      </c>
      <c r="G31" t="str">
        <f t="shared" si="1"/>
        <v>Juan 17, 1-11</v>
      </c>
      <c r="I31" t="s">
        <v>188</v>
      </c>
    </row>
    <row r="32" spans="1:10" x14ac:dyDescent="0.25">
      <c r="A32" t="s">
        <v>31</v>
      </c>
      <c r="B32" t="s">
        <v>194</v>
      </c>
      <c r="C32" t="s">
        <v>189</v>
      </c>
      <c r="D32" t="s">
        <v>191</v>
      </c>
      <c r="E32" t="s">
        <v>190</v>
      </c>
      <c r="F32" t="s">
        <v>193</v>
      </c>
      <c r="G32" t="str">
        <f t="shared" si="1"/>
        <v>Juan 7, 37-39</v>
      </c>
      <c r="I32" t="s">
        <v>192</v>
      </c>
    </row>
    <row r="33" spans="1:12" x14ac:dyDescent="0.25">
      <c r="A33" t="s">
        <v>31</v>
      </c>
      <c r="B33" t="s">
        <v>195</v>
      </c>
      <c r="C33" t="s">
        <v>196</v>
      </c>
      <c r="D33" t="s">
        <v>197</v>
      </c>
      <c r="E33" t="s">
        <v>198</v>
      </c>
      <c r="F33" t="s">
        <v>200</v>
      </c>
      <c r="G33" t="str">
        <f t="shared" si="1"/>
        <v>Juan 20, 19-23</v>
      </c>
      <c r="I33" t="s">
        <v>199</v>
      </c>
    </row>
    <row r="34" spans="1:12" x14ac:dyDescent="0.25">
      <c r="A34" t="s">
        <v>31</v>
      </c>
      <c r="B34" t="s">
        <v>201</v>
      </c>
      <c r="C34" t="s">
        <v>202</v>
      </c>
      <c r="D34" t="s">
        <v>203</v>
      </c>
      <c r="E34" t="s">
        <v>204</v>
      </c>
      <c r="F34" t="s">
        <v>205</v>
      </c>
      <c r="G34" t="str">
        <f t="shared" si="1"/>
        <v>Juan 3,1 6-18</v>
      </c>
      <c r="I34" t="s">
        <v>206</v>
      </c>
    </row>
    <row r="35" spans="1:12" x14ac:dyDescent="0.25">
      <c r="A35" t="s">
        <v>31</v>
      </c>
      <c r="B35" t="s">
        <v>208</v>
      </c>
      <c r="C35" t="s">
        <v>207</v>
      </c>
      <c r="D35" t="s">
        <v>74</v>
      </c>
      <c r="E35" t="s">
        <v>210</v>
      </c>
      <c r="F35" t="s">
        <v>211</v>
      </c>
      <c r="G35" t="str">
        <f t="shared" si="1"/>
        <v>Juan 6, 51-58</v>
      </c>
      <c r="I35" t="s">
        <v>212</v>
      </c>
      <c r="L35" t="s">
        <v>209</v>
      </c>
    </row>
    <row r="36" spans="1:12" x14ac:dyDescent="0.25">
      <c r="A36" t="s">
        <v>31</v>
      </c>
      <c r="B36" t="s">
        <v>213</v>
      </c>
      <c r="C36" t="s">
        <v>215</v>
      </c>
      <c r="D36" t="s">
        <v>216</v>
      </c>
      <c r="E36" t="s">
        <v>217</v>
      </c>
      <c r="F36" t="s">
        <v>218</v>
      </c>
      <c r="G36" t="str">
        <f t="shared" si="1"/>
        <v>Mateo 11, 25-30</v>
      </c>
      <c r="I36" t="s">
        <v>219</v>
      </c>
      <c r="L36" t="s">
        <v>214</v>
      </c>
    </row>
    <row r="37" spans="1:12" x14ac:dyDescent="0.25">
      <c r="A37" t="s">
        <v>31</v>
      </c>
      <c r="B37" t="s">
        <v>220</v>
      </c>
      <c r="C37" t="s">
        <v>221</v>
      </c>
      <c r="D37" t="s">
        <v>222</v>
      </c>
      <c r="E37" t="s">
        <v>223</v>
      </c>
      <c r="F37" t="s">
        <v>224</v>
      </c>
      <c r="G37" t="str">
        <f t="shared" si="1"/>
        <v>Juan 1, 29-34</v>
      </c>
      <c r="I37" t="s">
        <v>230</v>
      </c>
    </row>
    <row r="38" spans="1:12" x14ac:dyDescent="0.25">
      <c r="A38" t="s">
        <v>31</v>
      </c>
      <c r="B38" t="s">
        <v>225</v>
      </c>
      <c r="C38" t="s">
        <v>226</v>
      </c>
      <c r="D38" t="s">
        <v>227</v>
      </c>
      <c r="E38" t="s">
        <v>228</v>
      </c>
      <c r="F38" t="s">
        <v>229</v>
      </c>
      <c r="G38" t="str">
        <f t="shared" si="1"/>
        <v>Mateo 4, 12-23 / Mateo 4, 12-17</v>
      </c>
      <c r="I38" t="s">
        <v>231</v>
      </c>
      <c r="J38" t="s">
        <v>232</v>
      </c>
    </row>
    <row r="39" spans="1:12" x14ac:dyDescent="0.25">
      <c r="A39" t="s">
        <v>31</v>
      </c>
      <c r="B39" t="s">
        <v>233</v>
      </c>
      <c r="C39" t="s">
        <v>234</v>
      </c>
      <c r="D39" t="s">
        <v>235</v>
      </c>
      <c r="E39" t="s">
        <v>236</v>
      </c>
      <c r="F39" t="s">
        <v>237</v>
      </c>
      <c r="G39" t="str">
        <f t="shared" si="1"/>
        <v>Mateo 5, 1-12a</v>
      </c>
      <c r="I39" t="s">
        <v>384</v>
      </c>
    </row>
    <row r="40" spans="1:12" x14ac:dyDescent="0.25">
      <c r="A40" t="s">
        <v>31</v>
      </c>
      <c r="B40" t="s">
        <v>238</v>
      </c>
      <c r="C40" t="s">
        <v>239</v>
      </c>
      <c r="D40" t="s">
        <v>240</v>
      </c>
      <c r="E40" t="s">
        <v>241</v>
      </c>
      <c r="F40" t="s">
        <v>242</v>
      </c>
      <c r="G40" t="str">
        <f t="shared" si="1"/>
        <v>Mateo 5, 13-16</v>
      </c>
      <c r="I40" t="s">
        <v>385</v>
      </c>
    </row>
    <row r="41" spans="1:12" x14ac:dyDescent="0.25">
      <c r="A41" t="s">
        <v>31</v>
      </c>
      <c r="B41" t="s">
        <v>243</v>
      </c>
      <c r="C41" t="s">
        <v>244</v>
      </c>
      <c r="D41" t="s">
        <v>245</v>
      </c>
      <c r="E41" t="s">
        <v>246</v>
      </c>
      <c r="F41" t="s">
        <v>247</v>
      </c>
      <c r="G41" t="str">
        <f t="shared" si="1"/>
        <v>Mateo 5, 17-37 / Mateo 5, 20-22a. 27-28. 33-34a. 37</v>
      </c>
      <c r="I41" t="s">
        <v>386</v>
      </c>
      <c r="J41" t="s">
        <v>387</v>
      </c>
    </row>
    <row r="42" spans="1:12" x14ac:dyDescent="0.25">
      <c r="A42" t="s">
        <v>31</v>
      </c>
      <c r="B42" t="s">
        <v>248</v>
      </c>
      <c r="C42" t="s">
        <v>249</v>
      </c>
      <c r="D42" t="s">
        <v>250</v>
      </c>
      <c r="E42" t="s">
        <v>251</v>
      </c>
      <c r="F42" t="s">
        <v>252</v>
      </c>
      <c r="G42" t="str">
        <f t="shared" si="1"/>
        <v>Mateo 5, 38-48</v>
      </c>
      <c r="I42" t="s">
        <v>388</v>
      </c>
    </row>
    <row r="43" spans="1:12" x14ac:dyDescent="0.25">
      <c r="A43" t="s">
        <v>31</v>
      </c>
      <c r="B43" t="s">
        <v>253</v>
      </c>
      <c r="C43" t="s">
        <v>254</v>
      </c>
      <c r="D43" t="s">
        <v>255</v>
      </c>
      <c r="E43" t="s">
        <v>256</v>
      </c>
      <c r="F43" t="s">
        <v>257</v>
      </c>
      <c r="G43" t="str">
        <f t="shared" si="1"/>
        <v>Mateo 6, 24-34</v>
      </c>
      <c r="I43" t="s">
        <v>389</v>
      </c>
    </row>
    <row r="44" spans="1:12" x14ac:dyDescent="0.25">
      <c r="A44" t="s">
        <v>31</v>
      </c>
      <c r="B44" t="s">
        <v>258</v>
      </c>
      <c r="C44" t="s">
        <v>259</v>
      </c>
      <c r="D44" t="s">
        <v>260</v>
      </c>
      <c r="E44" t="s">
        <v>261</v>
      </c>
      <c r="F44" t="s">
        <v>262</v>
      </c>
      <c r="G44" t="str">
        <f t="shared" si="1"/>
        <v>Mateo 7, 21-27</v>
      </c>
      <c r="I44" t="s">
        <v>390</v>
      </c>
    </row>
    <row r="45" spans="1:12" x14ac:dyDescent="0.25">
      <c r="A45" t="s">
        <v>31</v>
      </c>
      <c r="B45" t="s">
        <v>263</v>
      </c>
      <c r="C45" t="s">
        <v>264</v>
      </c>
      <c r="D45" t="s">
        <v>265</v>
      </c>
      <c r="E45" t="s">
        <v>266</v>
      </c>
      <c r="F45" t="s">
        <v>267</v>
      </c>
      <c r="G45" t="str">
        <f t="shared" si="1"/>
        <v>Mateo 9, 9-13</v>
      </c>
      <c r="I45" t="s">
        <v>391</v>
      </c>
    </row>
    <row r="46" spans="1:12" x14ac:dyDescent="0.25">
      <c r="A46" t="s">
        <v>31</v>
      </c>
      <c r="B46" t="s">
        <v>268</v>
      </c>
      <c r="C46" t="s">
        <v>269</v>
      </c>
      <c r="D46" t="s">
        <v>270</v>
      </c>
      <c r="E46" t="s">
        <v>271</v>
      </c>
      <c r="F46" t="s">
        <v>272</v>
      </c>
      <c r="G46" t="str">
        <f t="shared" si="1"/>
        <v>Mateo 9, 36—10, 8</v>
      </c>
      <c r="I46" t="s">
        <v>392</v>
      </c>
    </row>
    <row r="47" spans="1:12" x14ac:dyDescent="0.25">
      <c r="A47" t="s">
        <v>31</v>
      </c>
      <c r="B47" t="s">
        <v>273</v>
      </c>
      <c r="C47" t="s">
        <v>274</v>
      </c>
      <c r="D47" t="s">
        <v>275</v>
      </c>
      <c r="E47" t="s">
        <v>276</v>
      </c>
      <c r="F47" t="s">
        <v>277</v>
      </c>
      <c r="G47" t="str">
        <f t="shared" si="1"/>
        <v>Mateo 10, 26-33</v>
      </c>
      <c r="I47" t="s">
        <v>393</v>
      </c>
    </row>
    <row r="48" spans="1:12" x14ac:dyDescent="0.25">
      <c r="A48" t="s">
        <v>31</v>
      </c>
      <c r="B48" t="s">
        <v>278</v>
      </c>
      <c r="C48" t="s">
        <v>279</v>
      </c>
      <c r="D48" t="s">
        <v>280</v>
      </c>
      <c r="E48" t="s">
        <v>281</v>
      </c>
      <c r="F48" t="s">
        <v>282</v>
      </c>
      <c r="G48" t="str">
        <f t="shared" si="1"/>
        <v>Mateo 10, 37-42</v>
      </c>
      <c r="I48" t="s">
        <v>394</v>
      </c>
    </row>
    <row r="49" spans="1:10" x14ac:dyDescent="0.25">
      <c r="A49" t="s">
        <v>31</v>
      </c>
      <c r="B49" t="s">
        <v>283</v>
      </c>
      <c r="C49" t="s">
        <v>284</v>
      </c>
      <c r="D49" t="s">
        <v>285</v>
      </c>
      <c r="E49" t="s">
        <v>286</v>
      </c>
      <c r="F49" t="s">
        <v>287</v>
      </c>
      <c r="G49" t="str">
        <f t="shared" si="1"/>
        <v>Mateo 11, 25-30</v>
      </c>
      <c r="I49" t="s">
        <v>219</v>
      </c>
    </row>
    <row r="50" spans="1:10" x14ac:dyDescent="0.25">
      <c r="A50" t="s">
        <v>31</v>
      </c>
      <c r="B50" t="s">
        <v>364</v>
      </c>
      <c r="C50" t="s">
        <v>288</v>
      </c>
      <c r="D50" t="s">
        <v>289</v>
      </c>
      <c r="E50" t="s">
        <v>290</v>
      </c>
      <c r="F50" t="s">
        <v>291</v>
      </c>
      <c r="G50" t="str">
        <f t="shared" si="1"/>
        <v>Mateo 13, 1-23 / Mateo 13, 1-9</v>
      </c>
      <c r="I50" t="s">
        <v>395</v>
      </c>
      <c r="J50" t="s">
        <v>396</v>
      </c>
    </row>
    <row r="51" spans="1:10" x14ac:dyDescent="0.25">
      <c r="A51" t="s">
        <v>31</v>
      </c>
      <c r="B51" t="s">
        <v>365</v>
      </c>
      <c r="C51" t="s">
        <v>292</v>
      </c>
      <c r="D51" t="s">
        <v>293</v>
      </c>
      <c r="E51" t="s">
        <v>294</v>
      </c>
      <c r="F51" t="s">
        <v>287</v>
      </c>
      <c r="G51" t="str">
        <f t="shared" si="1"/>
        <v>Mateo 13, 24-43 / Mateo 13, 24-30</v>
      </c>
      <c r="I51" t="s">
        <v>397</v>
      </c>
      <c r="J51" t="s">
        <v>398</v>
      </c>
    </row>
    <row r="52" spans="1:10" x14ac:dyDescent="0.25">
      <c r="A52" t="s">
        <v>31</v>
      </c>
      <c r="B52" t="s">
        <v>366</v>
      </c>
      <c r="C52" t="s">
        <v>295</v>
      </c>
      <c r="D52" t="s">
        <v>296</v>
      </c>
      <c r="E52" t="s">
        <v>297</v>
      </c>
      <c r="F52" t="s">
        <v>287</v>
      </c>
      <c r="G52" t="str">
        <f t="shared" si="1"/>
        <v>Mateo 13, 44-52 / Mateo 13, 44-46</v>
      </c>
      <c r="I52" t="s">
        <v>399</v>
      </c>
      <c r="J52" t="s">
        <v>400</v>
      </c>
    </row>
    <row r="53" spans="1:10" x14ac:dyDescent="0.25">
      <c r="A53" t="s">
        <v>31</v>
      </c>
      <c r="B53" t="s">
        <v>367</v>
      </c>
      <c r="C53" t="s">
        <v>298</v>
      </c>
      <c r="D53" t="s">
        <v>299</v>
      </c>
      <c r="E53" t="s">
        <v>300</v>
      </c>
      <c r="F53" t="s">
        <v>301</v>
      </c>
      <c r="G53" t="str">
        <f t="shared" si="1"/>
        <v>Mateo 14, 13-21</v>
      </c>
      <c r="I53" t="s">
        <v>401</v>
      </c>
    </row>
    <row r="54" spans="1:10" x14ac:dyDescent="0.25">
      <c r="A54" t="s">
        <v>31</v>
      </c>
      <c r="B54" t="s">
        <v>368</v>
      </c>
      <c r="C54" t="s">
        <v>302</v>
      </c>
      <c r="D54" t="s">
        <v>303</v>
      </c>
      <c r="E54" t="s">
        <v>304</v>
      </c>
      <c r="F54" t="s">
        <v>305</v>
      </c>
      <c r="G54" t="str">
        <f t="shared" si="1"/>
        <v>Mateo 14, 22-33</v>
      </c>
      <c r="I54" t="s">
        <v>402</v>
      </c>
    </row>
    <row r="55" spans="1:10" x14ac:dyDescent="0.25">
      <c r="A55" t="s">
        <v>31</v>
      </c>
      <c r="B55" t="s">
        <v>369</v>
      </c>
      <c r="C55" t="s">
        <v>306</v>
      </c>
      <c r="D55" t="s">
        <v>307</v>
      </c>
      <c r="E55" t="s">
        <v>308</v>
      </c>
      <c r="F55" t="s">
        <v>229</v>
      </c>
      <c r="G55" t="str">
        <f t="shared" si="1"/>
        <v>Mateo 15, 21-28</v>
      </c>
      <c r="I55" t="s">
        <v>419</v>
      </c>
    </row>
    <row r="56" spans="1:10" x14ac:dyDescent="0.25">
      <c r="A56" t="s">
        <v>31</v>
      </c>
      <c r="B56" t="s">
        <v>370</v>
      </c>
      <c r="C56" t="s">
        <v>309</v>
      </c>
      <c r="D56" t="s">
        <v>310</v>
      </c>
      <c r="E56" t="s">
        <v>311</v>
      </c>
      <c r="F56" t="s">
        <v>312</v>
      </c>
      <c r="G56" t="str">
        <f t="shared" si="1"/>
        <v>Mateo 16, 13-20</v>
      </c>
      <c r="I56" t="s">
        <v>403</v>
      </c>
    </row>
    <row r="57" spans="1:10" x14ac:dyDescent="0.25">
      <c r="A57" t="s">
        <v>31</v>
      </c>
      <c r="B57" t="s">
        <v>371</v>
      </c>
      <c r="C57" t="s">
        <v>313</v>
      </c>
      <c r="D57" t="s">
        <v>314</v>
      </c>
      <c r="E57" t="s">
        <v>315</v>
      </c>
      <c r="F57" t="s">
        <v>316</v>
      </c>
      <c r="G57" t="str">
        <f t="shared" si="1"/>
        <v>Mateo 16, 21-27</v>
      </c>
      <c r="I57" t="s">
        <v>404</v>
      </c>
    </row>
    <row r="58" spans="1:10" x14ac:dyDescent="0.25">
      <c r="A58" t="s">
        <v>31</v>
      </c>
      <c r="B58" t="s">
        <v>372</v>
      </c>
      <c r="C58" t="s">
        <v>317</v>
      </c>
      <c r="D58" t="s">
        <v>318</v>
      </c>
      <c r="E58" t="s">
        <v>319</v>
      </c>
      <c r="F58" t="s">
        <v>320</v>
      </c>
      <c r="G58" t="str">
        <f t="shared" si="1"/>
        <v>Mateo 18, 15-20</v>
      </c>
      <c r="I58" t="s">
        <v>405</v>
      </c>
    </row>
    <row r="59" spans="1:10" x14ac:dyDescent="0.25">
      <c r="A59" t="s">
        <v>31</v>
      </c>
      <c r="B59" t="s">
        <v>373</v>
      </c>
      <c r="C59" t="s">
        <v>321</v>
      </c>
      <c r="D59" t="s">
        <v>322</v>
      </c>
      <c r="E59" t="s">
        <v>323</v>
      </c>
      <c r="F59" t="s">
        <v>324</v>
      </c>
      <c r="G59" t="str">
        <f t="shared" si="1"/>
        <v>Mateo 18, 21-35</v>
      </c>
      <c r="I59" t="s">
        <v>406</v>
      </c>
    </row>
    <row r="60" spans="1:10" x14ac:dyDescent="0.25">
      <c r="A60" t="s">
        <v>31</v>
      </c>
      <c r="B60" t="s">
        <v>374</v>
      </c>
      <c r="C60" t="s">
        <v>325</v>
      </c>
      <c r="D60" t="s">
        <v>326</v>
      </c>
      <c r="E60" t="s">
        <v>327</v>
      </c>
      <c r="F60" t="s">
        <v>328</v>
      </c>
      <c r="G60" t="str">
        <f t="shared" si="1"/>
        <v>Mateo 20, 1-16</v>
      </c>
      <c r="I60" t="s">
        <v>407</v>
      </c>
    </row>
    <row r="61" spans="1:10" x14ac:dyDescent="0.25">
      <c r="A61" t="s">
        <v>31</v>
      </c>
      <c r="B61" t="s">
        <v>375</v>
      </c>
      <c r="C61" t="s">
        <v>329</v>
      </c>
      <c r="D61" t="s">
        <v>330</v>
      </c>
      <c r="E61" t="s">
        <v>331</v>
      </c>
      <c r="F61" t="s">
        <v>332</v>
      </c>
      <c r="G61" t="str">
        <f t="shared" si="1"/>
        <v>Mateo 21, 28-32</v>
      </c>
      <c r="I61" t="s">
        <v>408</v>
      </c>
    </row>
    <row r="62" spans="1:10" x14ac:dyDescent="0.25">
      <c r="A62" t="s">
        <v>31</v>
      </c>
      <c r="B62" t="s">
        <v>376</v>
      </c>
      <c r="C62" t="s">
        <v>333</v>
      </c>
      <c r="D62" t="s">
        <v>334</v>
      </c>
      <c r="E62" t="s">
        <v>335</v>
      </c>
      <c r="F62" t="s">
        <v>336</v>
      </c>
      <c r="G62" t="str">
        <f t="shared" si="1"/>
        <v>Mateo 21, 33-43</v>
      </c>
      <c r="I62" t="s">
        <v>409</v>
      </c>
    </row>
    <row r="63" spans="1:10" x14ac:dyDescent="0.25">
      <c r="A63" t="s">
        <v>31</v>
      </c>
      <c r="B63" t="s">
        <v>377</v>
      </c>
      <c r="C63" t="s">
        <v>337</v>
      </c>
      <c r="D63" t="s">
        <v>338</v>
      </c>
      <c r="E63" t="s">
        <v>339</v>
      </c>
      <c r="F63" t="s">
        <v>316</v>
      </c>
      <c r="G63" t="str">
        <f t="shared" si="1"/>
        <v>Mateo 22, 1-14 / Mateo 22, 1-10</v>
      </c>
      <c r="I63" t="s">
        <v>410</v>
      </c>
      <c r="J63" t="s">
        <v>411</v>
      </c>
    </row>
    <row r="64" spans="1:10" x14ac:dyDescent="0.25">
      <c r="A64" t="s">
        <v>31</v>
      </c>
      <c r="B64" t="s">
        <v>378</v>
      </c>
      <c r="C64" t="s">
        <v>340</v>
      </c>
      <c r="D64" t="s">
        <v>341</v>
      </c>
      <c r="E64" t="s">
        <v>342</v>
      </c>
      <c r="F64" t="s">
        <v>343</v>
      </c>
      <c r="G64" t="str">
        <f t="shared" si="1"/>
        <v>Mateo 22, 15-21</v>
      </c>
      <c r="I64" t="s">
        <v>412</v>
      </c>
    </row>
    <row r="65" spans="1:10" x14ac:dyDescent="0.25">
      <c r="A65" t="s">
        <v>31</v>
      </c>
      <c r="B65" t="s">
        <v>379</v>
      </c>
      <c r="C65" t="s">
        <v>344</v>
      </c>
      <c r="D65" t="s">
        <v>345</v>
      </c>
      <c r="E65" t="s">
        <v>346</v>
      </c>
      <c r="F65" t="s">
        <v>347</v>
      </c>
      <c r="G65" t="str">
        <f t="shared" si="1"/>
        <v>Mateo 22, 34-40</v>
      </c>
      <c r="I65" t="s">
        <v>413</v>
      </c>
    </row>
    <row r="66" spans="1:10" x14ac:dyDescent="0.25">
      <c r="A66" t="s">
        <v>31</v>
      </c>
      <c r="B66" t="s">
        <v>380</v>
      </c>
      <c r="C66" t="s">
        <v>348</v>
      </c>
      <c r="D66" t="s">
        <v>349</v>
      </c>
      <c r="E66" t="s">
        <v>350</v>
      </c>
      <c r="F66" t="s">
        <v>351</v>
      </c>
      <c r="G66" t="str">
        <f t="shared" si="1"/>
        <v>Mateo 23, 1-12</v>
      </c>
      <c r="I66" t="s">
        <v>414</v>
      </c>
    </row>
    <row r="67" spans="1:10" x14ac:dyDescent="0.25">
      <c r="A67" t="s">
        <v>31</v>
      </c>
      <c r="B67" t="s">
        <v>381</v>
      </c>
      <c r="C67" t="s">
        <v>352</v>
      </c>
      <c r="D67" t="s">
        <v>353</v>
      </c>
      <c r="E67" t="s">
        <v>354</v>
      </c>
      <c r="F67" t="s">
        <v>355</v>
      </c>
      <c r="G67" t="str">
        <f t="shared" si="1"/>
        <v>Mateo 25, 1-13</v>
      </c>
      <c r="I67" t="s">
        <v>415</v>
      </c>
    </row>
    <row r="68" spans="1:10" x14ac:dyDescent="0.25">
      <c r="A68" t="s">
        <v>31</v>
      </c>
      <c r="B68" t="s">
        <v>382</v>
      </c>
      <c r="C68" t="s">
        <v>356</v>
      </c>
      <c r="D68" t="s">
        <v>357</v>
      </c>
      <c r="E68" t="s">
        <v>358</v>
      </c>
      <c r="F68" t="s">
        <v>359</v>
      </c>
      <c r="G68" t="str">
        <f t="shared" si="1"/>
        <v>Mateo 25, 14-30 / Mateo 25, 14-15. 19-21</v>
      </c>
      <c r="I68" t="s">
        <v>416</v>
      </c>
      <c r="J68" t="s">
        <v>417</v>
      </c>
    </row>
    <row r="69" spans="1:10" x14ac:dyDescent="0.25">
      <c r="A69" t="s">
        <v>31</v>
      </c>
      <c r="B69" t="s">
        <v>383</v>
      </c>
      <c r="C69" t="s">
        <v>360</v>
      </c>
      <c r="D69" t="s">
        <v>361</v>
      </c>
      <c r="E69" t="s">
        <v>362</v>
      </c>
      <c r="F69" t="s">
        <v>363</v>
      </c>
      <c r="G69" t="str">
        <f t="shared" si="1"/>
        <v>Mateo 25, 31-46</v>
      </c>
      <c r="I69" t="s">
        <v>418</v>
      </c>
    </row>
    <row r="70" spans="1:10" x14ac:dyDescent="0.25">
      <c r="A70" t="s">
        <v>429</v>
      </c>
      <c r="B70" t="s">
        <v>430</v>
      </c>
      <c r="C70" s="1" t="s">
        <v>420</v>
      </c>
      <c r="D70" s="2" t="s">
        <v>421</v>
      </c>
      <c r="E70" s="3" t="s">
        <v>422</v>
      </c>
      <c r="F70" s="2" t="s">
        <v>423</v>
      </c>
    </row>
    <row r="71" spans="1:10" x14ac:dyDescent="0.25">
      <c r="A71" t="s">
        <v>429</v>
      </c>
      <c r="B71" t="s">
        <v>424</v>
      </c>
      <c r="C71" s="2" t="s">
        <v>425</v>
      </c>
      <c r="D71" t="s">
        <v>426</v>
      </c>
      <c r="E71" s="3" t="s">
        <v>427</v>
      </c>
      <c r="F71" s="2" t="s">
        <v>428</v>
      </c>
    </row>
    <row r="72" spans="1:10" x14ac:dyDescent="0.25">
      <c r="A72" t="s">
        <v>429</v>
      </c>
      <c r="B72" t="s">
        <v>431</v>
      </c>
      <c r="C72" t="s">
        <v>436</v>
      </c>
      <c r="D72" s="2" t="s">
        <v>437</v>
      </c>
      <c r="E72" s="3" t="s">
        <v>438</v>
      </c>
      <c r="F72" s="2" t="s">
        <v>439</v>
      </c>
    </row>
    <row r="73" spans="1:10" x14ac:dyDescent="0.25">
      <c r="A73" t="s">
        <v>429</v>
      </c>
      <c r="B73" t="s">
        <v>432</v>
      </c>
      <c r="C73" t="s">
        <v>440</v>
      </c>
      <c r="D73" t="s">
        <v>441</v>
      </c>
      <c r="E73" s="3" t="s">
        <v>442</v>
      </c>
      <c r="F73" s="2" t="s">
        <v>443</v>
      </c>
    </row>
    <row r="74" spans="1:10" x14ac:dyDescent="0.25">
      <c r="A74" t="s">
        <v>429</v>
      </c>
      <c r="B74" t="s">
        <v>433</v>
      </c>
      <c r="C74" t="s">
        <v>444</v>
      </c>
      <c r="D74" s="2" t="s">
        <v>445</v>
      </c>
      <c r="E74" s="3" t="s">
        <v>446</v>
      </c>
      <c r="F74" s="2" t="s">
        <v>447</v>
      </c>
    </row>
    <row r="75" spans="1:10" x14ac:dyDescent="0.25">
      <c r="A75" t="s">
        <v>429</v>
      </c>
      <c r="B75" t="s">
        <v>434</v>
      </c>
      <c r="C75" t="s">
        <v>448</v>
      </c>
      <c r="D75" s="2" t="s">
        <v>449</v>
      </c>
      <c r="E75" s="3" t="s">
        <v>22</v>
      </c>
      <c r="F75" s="2" t="s">
        <v>450</v>
      </c>
    </row>
    <row r="76" spans="1:10" x14ac:dyDescent="0.25">
      <c r="A76" t="s">
        <v>435</v>
      </c>
      <c r="B76" t="s">
        <v>430</v>
      </c>
      <c r="G76">
        <f t="shared" ref="G76:G114" si="2">IF(J76="",I76,_xlfn.CONCAT(I76," / ",J76))</f>
        <v>0</v>
      </c>
    </row>
    <row r="77" spans="1:10" x14ac:dyDescent="0.25">
      <c r="A77" t="s">
        <v>435</v>
      </c>
      <c r="B77" t="s">
        <v>424</v>
      </c>
      <c r="G77">
        <f t="shared" si="2"/>
        <v>0</v>
      </c>
    </row>
    <row r="78" spans="1:10" x14ac:dyDescent="0.25">
      <c r="A78" t="s">
        <v>435</v>
      </c>
      <c r="B78" t="s">
        <v>431</v>
      </c>
      <c r="G78">
        <f t="shared" si="2"/>
        <v>0</v>
      </c>
    </row>
    <row r="79" spans="1:10" x14ac:dyDescent="0.25">
      <c r="A79" t="s">
        <v>435</v>
      </c>
      <c r="B79" t="s">
        <v>432</v>
      </c>
      <c r="G79">
        <f t="shared" si="2"/>
        <v>0</v>
      </c>
    </row>
    <row r="80" spans="1:10" x14ac:dyDescent="0.25">
      <c r="A80" t="s">
        <v>435</v>
      </c>
      <c r="B80" t="s">
        <v>433</v>
      </c>
      <c r="G80">
        <f t="shared" si="2"/>
        <v>0</v>
      </c>
    </row>
    <row r="81" spans="1:7" x14ac:dyDescent="0.25">
      <c r="A81" t="s">
        <v>435</v>
      </c>
      <c r="B81" t="s">
        <v>434</v>
      </c>
      <c r="G81">
        <f t="shared" si="2"/>
        <v>0</v>
      </c>
    </row>
    <row r="82" spans="1:7" x14ac:dyDescent="0.25">
      <c r="G82">
        <f t="shared" si="2"/>
        <v>0</v>
      </c>
    </row>
    <row r="83" spans="1:7" x14ac:dyDescent="0.25">
      <c r="G83">
        <f t="shared" si="2"/>
        <v>0</v>
      </c>
    </row>
    <row r="84" spans="1:7" x14ac:dyDescent="0.25">
      <c r="G84">
        <f t="shared" si="2"/>
        <v>0</v>
      </c>
    </row>
    <row r="85" spans="1:7" x14ac:dyDescent="0.25">
      <c r="G85">
        <f t="shared" si="2"/>
        <v>0</v>
      </c>
    </row>
    <row r="86" spans="1:7" x14ac:dyDescent="0.25">
      <c r="G86">
        <f t="shared" si="2"/>
        <v>0</v>
      </c>
    </row>
    <row r="87" spans="1:7" x14ac:dyDescent="0.25">
      <c r="G87">
        <f t="shared" si="2"/>
        <v>0</v>
      </c>
    </row>
    <row r="88" spans="1:7" x14ac:dyDescent="0.25">
      <c r="G88">
        <f t="shared" si="2"/>
        <v>0</v>
      </c>
    </row>
    <row r="89" spans="1:7" x14ac:dyDescent="0.25">
      <c r="G89">
        <f t="shared" si="2"/>
        <v>0</v>
      </c>
    </row>
    <row r="90" spans="1:7" x14ac:dyDescent="0.25">
      <c r="G90">
        <f t="shared" si="2"/>
        <v>0</v>
      </c>
    </row>
    <row r="91" spans="1:7" x14ac:dyDescent="0.25">
      <c r="G91">
        <f t="shared" si="2"/>
        <v>0</v>
      </c>
    </row>
    <row r="92" spans="1:7" x14ac:dyDescent="0.25">
      <c r="G92">
        <f t="shared" si="2"/>
        <v>0</v>
      </c>
    </row>
    <row r="93" spans="1:7" x14ac:dyDescent="0.25">
      <c r="G93">
        <f t="shared" si="2"/>
        <v>0</v>
      </c>
    </row>
    <row r="94" spans="1:7" x14ac:dyDescent="0.25">
      <c r="G94">
        <f t="shared" si="2"/>
        <v>0</v>
      </c>
    </row>
    <row r="95" spans="1:7" x14ac:dyDescent="0.25">
      <c r="G95">
        <f t="shared" si="2"/>
        <v>0</v>
      </c>
    </row>
    <row r="96" spans="1:7" x14ac:dyDescent="0.25">
      <c r="G96">
        <f t="shared" si="2"/>
        <v>0</v>
      </c>
    </row>
    <row r="97" spans="7:7" x14ac:dyDescent="0.25">
      <c r="G97">
        <f t="shared" si="2"/>
        <v>0</v>
      </c>
    </row>
    <row r="98" spans="7:7" x14ac:dyDescent="0.25">
      <c r="G98">
        <f t="shared" si="2"/>
        <v>0</v>
      </c>
    </row>
    <row r="99" spans="7:7" x14ac:dyDescent="0.25">
      <c r="G99">
        <f t="shared" si="2"/>
        <v>0</v>
      </c>
    </row>
    <row r="100" spans="7:7" x14ac:dyDescent="0.25">
      <c r="G100">
        <f t="shared" si="2"/>
        <v>0</v>
      </c>
    </row>
    <row r="101" spans="7:7" x14ac:dyDescent="0.25">
      <c r="G101">
        <f t="shared" si="2"/>
        <v>0</v>
      </c>
    </row>
    <row r="102" spans="7:7" x14ac:dyDescent="0.25">
      <c r="G102">
        <f t="shared" si="2"/>
        <v>0</v>
      </c>
    </row>
    <row r="103" spans="7:7" x14ac:dyDescent="0.25">
      <c r="G103">
        <f t="shared" si="2"/>
        <v>0</v>
      </c>
    </row>
    <row r="104" spans="7:7" x14ac:dyDescent="0.25">
      <c r="G104">
        <f t="shared" si="2"/>
        <v>0</v>
      </c>
    </row>
    <row r="105" spans="7:7" x14ac:dyDescent="0.25">
      <c r="G105">
        <f t="shared" si="2"/>
        <v>0</v>
      </c>
    </row>
    <row r="106" spans="7:7" x14ac:dyDescent="0.25">
      <c r="G106">
        <f t="shared" si="2"/>
        <v>0</v>
      </c>
    </row>
    <row r="107" spans="7:7" x14ac:dyDescent="0.25">
      <c r="G107">
        <f t="shared" si="2"/>
        <v>0</v>
      </c>
    </row>
    <row r="108" spans="7:7" x14ac:dyDescent="0.25">
      <c r="G108">
        <f t="shared" si="2"/>
        <v>0</v>
      </c>
    </row>
    <row r="109" spans="7:7" x14ac:dyDescent="0.25">
      <c r="G109">
        <f t="shared" si="2"/>
        <v>0</v>
      </c>
    </row>
    <row r="110" spans="7:7" x14ac:dyDescent="0.25">
      <c r="G110">
        <f t="shared" si="2"/>
        <v>0</v>
      </c>
    </row>
    <row r="111" spans="7:7" x14ac:dyDescent="0.25">
      <c r="G111">
        <f t="shared" si="2"/>
        <v>0</v>
      </c>
    </row>
    <row r="112" spans="7:7" x14ac:dyDescent="0.25">
      <c r="G112">
        <f t="shared" si="2"/>
        <v>0</v>
      </c>
    </row>
    <row r="113" spans="7:7" x14ac:dyDescent="0.25">
      <c r="G113">
        <f t="shared" si="2"/>
        <v>0</v>
      </c>
    </row>
    <row r="114" spans="7:7" x14ac:dyDescent="0.25">
      <c r="G114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BACE-E0D0-47E0-A7DB-4F0CC57B5A5B}">
  <dimension ref="A1:J409"/>
  <sheetViews>
    <sheetView zoomScale="175" zoomScaleNormal="175" workbookViewId="0">
      <pane ySplit="1" topLeftCell="A2" activePane="bottomLeft" state="frozen"/>
      <selection pane="bottomLeft" activeCell="E9" sqref="E9"/>
    </sheetView>
  </sheetViews>
  <sheetFormatPr defaultRowHeight="15" x14ac:dyDescent="0.25"/>
  <cols>
    <col min="2" max="2" width="3" bestFit="1" customWidth="1"/>
    <col min="3" max="3" width="4.28515625" bestFit="1" customWidth="1"/>
    <col min="4" max="4" width="11.28515625" bestFit="1" customWidth="1"/>
    <col min="5" max="5" width="8.85546875" bestFit="1" customWidth="1"/>
    <col min="6" max="6" width="35.140625" bestFit="1" customWidth="1"/>
    <col min="7" max="7" width="35.28515625" bestFit="1" customWidth="1"/>
    <col min="8" max="8" width="14.5703125" customWidth="1"/>
    <col min="9" max="9" width="32.5703125" bestFit="1" customWidth="1"/>
    <col min="10" max="10" width="1.85546875" bestFit="1" customWidth="1"/>
  </cols>
  <sheetData>
    <row r="1" spans="1:10" x14ac:dyDescent="0.25">
      <c r="F1" t="s">
        <v>824</v>
      </c>
    </row>
    <row r="2" spans="1:10" x14ac:dyDescent="0.25">
      <c r="A2" t="s">
        <v>969</v>
      </c>
      <c r="B2">
        <v>1</v>
      </c>
      <c r="C2" t="s">
        <v>970</v>
      </c>
      <c r="D2" t="str">
        <f t="shared" ref="D2:D56" si="0">_xlfn.CONCAT("TO-s",B2,"-PAR")</f>
        <v>TO-s1-PAR</v>
      </c>
      <c r="E2" t="s">
        <v>430</v>
      </c>
      <c r="F2" t="s">
        <v>451</v>
      </c>
      <c r="G2" t="s">
        <v>421</v>
      </c>
      <c r="H2" t="s">
        <v>422</v>
      </c>
      <c r="I2" t="s">
        <v>423</v>
      </c>
    </row>
    <row r="3" spans="1:10" x14ac:dyDescent="0.25">
      <c r="A3" t="s">
        <v>969</v>
      </c>
      <c r="B3">
        <v>1</v>
      </c>
      <c r="C3" t="s">
        <v>970</v>
      </c>
      <c r="D3" t="str">
        <f t="shared" si="0"/>
        <v>TO-s1-PAR</v>
      </c>
      <c r="E3" t="s">
        <v>424</v>
      </c>
      <c r="F3" t="s">
        <v>452</v>
      </c>
      <c r="G3" t="s">
        <v>426</v>
      </c>
      <c r="H3" t="s">
        <v>427</v>
      </c>
      <c r="I3" t="s">
        <v>428</v>
      </c>
    </row>
    <row r="4" spans="1:10" x14ac:dyDescent="0.25">
      <c r="A4" t="s">
        <v>969</v>
      </c>
      <c r="B4">
        <v>1</v>
      </c>
      <c r="C4" t="s">
        <v>970</v>
      </c>
      <c r="D4" t="str">
        <f t="shared" si="0"/>
        <v>TO-s1-PAR</v>
      </c>
      <c r="E4" t="s">
        <v>431</v>
      </c>
      <c r="F4" t="s">
        <v>436</v>
      </c>
      <c r="G4" t="s">
        <v>437</v>
      </c>
      <c r="H4" t="s">
        <v>438</v>
      </c>
      <c r="I4" t="s">
        <v>439</v>
      </c>
    </row>
    <row r="5" spans="1:10" x14ac:dyDescent="0.25">
      <c r="A5" t="s">
        <v>969</v>
      </c>
      <c r="B5">
        <v>1</v>
      </c>
      <c r="C5" t="s">
        <v>970</v>
      </c>
      <c r="D5" t="str">
        <f t="shared" si="0"/>
        <v>TO-s1-PAR</v>
      </c>
      <c r="E5" t="s">
        <v>432</v>
      </c>
      <c r="F5" t="s">
        <v>440</v>
      </c>
      <c r="G5" t="s">
        <v>441</v>
      </c>
      <c r="H5" t="s">
        <v>442</v>
      </c>
      <c r="I5" t="s">
        <v>443</v>
      </c>
    </row>
    <row r="6" spans="1:10" x14ac:dyDescent="0.25">
      <c r="A6" t="s">
        <v>969</v>
      </c>
      <c r="B6">
        <v>1</v>
      </c>
      <c r="C6" t="s">
        <v>970</v>
      </c>
      <c r="D6" t="str">
        <f t="shared" si="0"/>
        <v>TO-s1-PAR</v>
      </c>
      <c r="E6" t="s">
        <v>433</v>
      </c>
      <c r="F6" t="s">
        <v>444</v>
      </c>
      <c r="G6" t="s">
        <v>445</v>
      </c>
      <c r="H6" t="s">
        <v>446</v>
      </c>
      <c r="I6" t="s">
        <v>447</v>
      </c>
    </row>
    <row r="7" spans="1:10" x14ac:dyDescent="0.25">
      <c r="A7" t="s">
        <v>969</v>
      </c>
      <c r="B7">
        <v>1</v>
      </c>
      <c r="C7" t="s">
        <v>970</v>
      </c>
      <c r="D7" t="str">
        <f t="shared" si="0"/>
        <v>TO-s1-PAR</v>
      </c>
      <c r="E7" t="s">
        <v>434</v>
      </c>
      <c r="F7" t="s">
        <v>448</v>
      </c>
      <c r="G7" t="s">
        <v>449</v>
      </c>
      <c r="H7" t="s">
        <v>22</v>
      </c>
      <c r="I7" t="s">
        <v>450</v>
      </c>
    </row>
    <row r="8" spans="1:10" x14ac:dyDescent="0.25">
      <c r="A8" t="s">
        <v>969</v>
      </c>
      <c r="B8">
        <v>2</v>
      </c>
      <c r="C8" t="s">
        <v>970</v>
      </c>
      <c r="D8" t="str">
        <f t="shared" si="0"/>
        <v>TO-s2-PAR</v>
      </c>
      <c r="E8" t="s">
        <v>430</v>
      </c>
      <c r="F8" t="s">
        <v>453</v>
      </c>
      <c r="G8" t="s">
        <v>454</v>
      </c>
      <c r="H8" t="s">
        <v>455</v>
      </c>
      <c r="I8" t="s">
        <v>456</v>
      </c>
      <c r="J8">
        <f t="shared" ref="J8:J13" si="1">IF(M8="",L8,_xlfn.CONCAT(L8," / ",M8))</f>
        <v>0</v>
      </c>
    </row>
    <row r="9" spans="1:10" x14ac:dyDescent="0.25">
      <c r="A9" t="s">
        <v>969</v>
      </c>
      <c r="B9">
        <v>2</v>
      </c>
      <c r="C9" t="s">
        <v>970</v>
      </c>
      <c r="D9" t="str">
        <f t="shared" si="0"/>
        <v>TO-s2-PAR</v>
      </c>
      <c r="E9" t="s">
        <v>424</v>
      </c>
      <c r="F9" t="s">
        <v>457</v>
      </c>
      <c r="G9" t="s">
        <v>458</v>
      </c>
      <c r="H9" t="s">
        <v>459</v>
      </c>
      <c r="I9" t="s">
        <v>460</v>
      </c>
      <c r="J9">
        <f t="shared" si="1"/>
        <v>0</v>
      </c>
    </row>
    <row r="10" spans="1:10" x14ac:dyDescent="0.25">
      <c r="A10" t="s">
        <v>969</v>
      </c>
      <c r="B10">
        <v>2</v>
      </c>
      <c r="C10" t="s">
        <v>970</v>
      </c>
      <c r="D10" t="str">
        <f t="shared" si="0"/>
        <v>TO-s2-PAR</v>
      </c>
      <c r="E10" t="s">
        <v>431</v>
      </c>
      <c r="F10" t="s">
        <v>461</v>
      </c>
      <c r="G10" t="s">
        <v>462</v>
      </c>
      <c r="H10" t="s">
        <v>442</v>
      </c>
      <c r="I10" t="s">
        <v>463</v>
      </c>
      <c r="J10">
        <f t="shared" si="1"/>
        <v>0</v>
      </c>
    </row>
    <row r="11" spans="1:10" x14ac:dyDescent="0.25">
      <c r="A11" t="s">
        <v>969</v>
      </c>
      <c r="B11">
        <v>2</v>
      </c>
      <c r="C11" t="s">
        <v>970</v>
      </c>
      <c r="D11" t="str">
        <f t="shared" si="0"/>
        <v>TO-s2-PAR</v>
      </c>
      <c r="E11" t="s">
        <v>432</v>
      </c>
      <c r="F11" t="s">
        <v>464</v>
      </c>
      <c r="G11" t="s">
        <v>465</v>
      </c>
      <c r="H11" t="s">
        <v>466</v>
      </c>
      <c r="I11" t="s">
        <v>467</v>
      </c>
      <c r="J11">
        <f t="shared" si="1"/>
        <v>0</v>
      </c>
    </row>
    <row r="12" spans="1:10" x14ac:dyDescent="0.25">
      <c r="A12" t="s">
        <v>969</v>
      </c>
      <c r="B12">
        <v>2</v>
      </c>
      <c r="C12" t="s">
        <v>970</v>
      </c>
      <c r="D12" t="str">
        <f t="shared" si="0"/>
        <v>TO-s2-PAR</v>
      </c>
      <c r="E12" t="s">
        <v>433</v>
      </c>
      <c r="F12" t="s">
        <v>468</v>
      </c>
      <c r="G12" t="s">
        <v>469</v>
      </c>
      <c r="H12" t="s">
        <v>470</v>
      </c>
      <c r="I12" t="s">
        <v>471</v>
      </c>
      <c r="J12">
        <f t="shared" si="1"/>
        <v>0</v>
      </c>
    </row>
    <row r="13" spans="1:10" x14ac:dyDescent="0.25">
      <c r="A13" t="s">
        <v>969</v>
      </c>
      <c r="B13">
        <v>2</v>
      </c>
      <c r="C13" t="s">
        <v>970</v>
      </c>
      <c r="D13" t="str">
        <f t="shared" si="0"/>
        <v>TO-s2-PAR</v>
      </c>
      <c r="E13" t="s">
        <v>434</v>
      </c>
      <c r="F13" t="s">
        <v>472</v>
      </c>
      <c r="G13" t="s">
        <v>473</v>
      </c>
      <c r="H13" t="s">
        <v>474</v>
      </c>
      <c r="I13" t="s">
        <v>475</v>
      </c>
      <c r="J13">
        <f t="shared" si="1"/>
        <v>0</v>
      </c>
    </row>
    <row r="14" spans="1:10" x14ac:dyDescent="0.25">
      <c r="A14" t="s">
        <v>969</v>
      </c>
      <c r="B14">
        <v>3</v>
      </c>
      <c r="C14" t="s">
        <v>970</v>
      </c>
      <c r="D14" t="str">
        <f t="shared" si="0"/>
        <v>TO-s3-PAR</v>
      </c>
      <c r="E14" t="s">
        <v>430</v>
      </c>
      <c r="F14" t="s">
        <v>476</v>
      </c>
      <c r="G14" t="s">
        <v>477</v>
      </c>
      <c r="H14" t="s">
        <v>466</v>
      </c>
      <c r="I14" t="s">
        <v>478</v>
      </c>
    </row>
    <row r="15" spans="1:10" x14ac:dyDescent="0.25">
      <c r="A15" t="s">
        <v>969</v>
      </c>
      <c r="B15">
        <v>3</v>
      </c>
      <c r="C15" t="s">
        <v>970</v>
      </c>
      <c r="D15" t="str">
        <f t="shared" si="0"/>
        <v>TO-s3-PAR</v>
      </c>
      <c r="E15" t="s">
        <v>424</v>
      </c>
      <c r="F15" t="s">
        <v>480</v>
      </c>
      <c r="G15" t="s">
        <v>479</v>
      </c>
      <c r="H15" t="s">
        <v>481</v>
      </c>
      <c r="I15" t="s">
        <v>482</v>
      </c>
    </row>
    <row r="16" spans="1:10" x14ac:dyDescent="0.25">
      <c r="A16" t="s">
        <v>969</v>
      </c>
      <c r="B16">
        <v>3</v>
      </c>
      <c r="C16" t="s">
        <v>970</v>
      </c>
      <c r="D16" t="str">
        <f t="shared" si="0"/>
        <v>TO-s3-PAR</v>
      </c>
      <c r="E16" t="s">
        <v>431</v>
      </c>
      <c r="F16" t="s">
        <v>483</v>
      </c>
      <c r="G16" t="s">
        <v>484</v>
      </c>
      <c r="H16" t="s">
        <v>291</v>
      </c>
      <c r="I16" t="s">
        <v>485</v>
      </c>
    </row>
    <row r="17" spans="1:9" x14ac:dyDescent="0.25">
      <c r="A17" t="s">
        <v>969</v>
      </c>
      <c r="B17">
        <v>3</v>
      </c>
      <c r="C17" t="s">
        <v>970</v>
      </c>
      <c r="D17" t="str">
        <f t="shared" si="0"/>
        <v>TO-s3-PAR</v>
      </c>
      <c r="E17" t="s">
        <v>432</v>
      </c>
      <c r="F17" t="s">
        <v>486</v>
      </c>
      <c r="G17" t="s">
        <v>487</v>
      </c>
      <c r="H17" t="s">
        <v>488</v>
      </c>
      <c r="I17" t="s">
        <v>489</v>
      </c>
    </row>
    <row r="18" spans="1:9" x14ac:dyDescent="0.25">
      <c r="A18" t="s">
        <v>969</v>
      </c>
      <c r="B18">
        <v>3</v>
      </c>
      <c r="C18" t="s">
        <v>970</v>
      </c>
      <c r="D18" t="str">
        <f t="shared" si="0"/>
        <v>TO-s3-PAR</v>
      </c>
      <c r="E18" t="s">
        <v>433</v>
      </c>
      <c r="F18" t="s">
        <v>490</v>
      </c>
      <c r="G18" t="s">
        <v>491</v>
      </c>
      <c r="H18" t="s">
        <v>481</v>
      </c>
      <c r="I18" t="s">
        <v>492</v>
      </c>
    </row>
    <row r="19" spans="1:9" x14ac:dyDescent="0.25">
      <c r="A19" t="s">
        <v>969</v>
      </c>
      <c r="B19">
        <v>3</v>
      </c>
      <c r="C19" t="s">
        <v>970</v>
      </c>
      <c r="D19" t="str">
        <f t="shared" si="0"/>
        <v>TO-s3-PAR</v>
      </c>
      <c r="E19" t="s">
        <v>434</v>
      </c>
      <c r="F19" t="s">
        <v>493</v>
      </c>
      <c r="G19" t="s">
        <v>494</v>
      </c>
      <c r="H19" t="s">
        <v>495</v>
      </c>
      <c r="I19" t="s">
        <v>496</v>
      </c>
    </row>
    <row r="20" spans="1:9" x14ac:dyDescent="0.25">
      <c r="A20" t="s">
        <v>969</v>
      </c>
      <c r="B20">
        <v>4</v>
      </c>
      <c r="C20" t="s">
        <v>970</v>
      </c>
      <c r="D20" t="str">
        <f t="shared" si="0"/>
        <v>TO-s4-PAR</v>
      </c>
      <c r="E20" t="s">
        <v>430</v>
      </c>
      <c r="F20" t="s">
        <v>497</v>
      </c>
      <c r="G20" t="s">
        <v>498</v>
      </c>
      <c r="H20" t="s">
        <v>446</v>
      </c>
      <c r="I20" t="s">
        <v>499</v>
      </c>
    </row>
    <row r="21" spans="1:9" x14ac:dyDescent="0.25">
      <c r="A21" t="s">
        <v>969</v>
      </c>
      <c r="B21">
        <v>4</v>
      </c>
      <c r="C21" t="s">
        <v>970</v>
      </c>
      <c r="D21" t="str">
        <f t="shared" si="0"/>
        <v>TO-s4-PAR</v>
      </c>
      <c r="E21" t="s">
        <v>424</v>
      </c>
      <c r="F21" t="s">
        <v>500</v>
      </c>
      <c r="G21" t="s">
        <v>501</v>
      </c>
      <c r="H21" t="s">
        <v>502</v>
      </c>
      <c r="I21" t="s">
        <v>503</v>
      </c>
    </row>
    <row r="22" spans="1:9" x14ac:dyDescent="0.25">
      <c r="A22" t="s">
        <v>969</v>
      </c>
      <c r="B22">
        <v>4</v>
      </c>
      <c r="C22" t="s">
        <v>970</v>
      </c>
      <c r="D22" t="str">
        <f t="shared" si="0"/>
        <v>TO-s4-PAR</v>
      </c>
      <c r="E22" t="s">
        <v>431</v>
      </c>
      <c r="F22" t="s">
        <v>504</v>
      </c>
      <c r="G22" t="s">
        <v>505</v>
      </c>
      <c r="H22" t="s">
        <v>438</v>
      </c>
      <c r="I22" t="s">
        <v>506</v>
      </c>
    </row>
    <row r="23" spans="1:9" x14ac:dyDescent="0.25">
      <c r="A23" t="s">
        <v>969</v>
      </c>
      <c r="B23">
        <v>4</v>
      </c>
      <c r="C23" t="s">
        <v>970</v>
      </c>
      <c r="D23" t="str">
        <f t="shared" si="0"/>
        <v>TO-s4-PAR</v>
      </c>
      <c r="E23" t="s">
        <v>432</v>
      </c>
      <c r="F23" t="s">
        <v>507</v>
      </c>
      <c r="G23" t="s">
        <v>508</v>
      </c>
      <c r="H23" t="s">
        <v>422</v>
      </c>
      <c r="I23" t="s">
        <v>509</v>
      </c>
    </row>
    <row r="24" spans="1:9" x14ac:dyDescent="0.25">
      <c r="A24" t="s">
        <v>969</v>
      </c>
      <c r="B24">
        <v>4</v>
      </c>
      <c r="C24" t="s">
        <v>970</v>
      </c>
      <c r="D24" t="str">
        <f t="shared" si="0"/>
        <v>TO-s4-PAR</v>
      </c>
      <c r="E24" t="s">
        <v>433</v>
      </c>
      <c r="F24" t="s">
        <v>510</v>
      </c>
      <c r="G24" t="s">
        <v>511</v>
      </c>
      <c r="H24" t="s">
        <v>512</v>
      </c>
      <c r="I24" t="s">
        <v>513</v>
      </c>
    </row>
    <row r="25" spans="1:9" x14ac:dyDescent="0.25">
      <c r="A25" t="s">
        <v>969</v>
      </c>
      <c r="B25">
        <v>4</v>
      </c>
      <c r="C25" t="s">
        <v>970</v>
      </c>
      <c r="D25" t="str">
        <f t="shared" si="0"/>
        <v>TO-s4-PAR</v>
      </c>
      <c r="E25" t="s">
        <v>434</v>
      </c>
      <c r="F25" t="s">
        <v>515</v>
      </c>
      <c r="G25" t="s">
        <v>514</v>
      </c>
      <c r="H25" t="s">
        <v>438</v>
      </c>
      <c r="I25" t="s">
        <v>516</v>
      </c>
    </row>
    <row r="26" spans="1:9" x14ac:dyDescent="0.25">
      <c r="A26" t="s">
        <v>969</v>
      </c>
      <c r="B26">
        <v>5</v>
      </c>
      <c r="C26" t="s">
        <v>970</v>
      </c>
      <c r="D26" t="str">
        <f t="shared" si="0"/>
        <v>TO-s5-PAR</v>
      </c>
      <c r="E26" t="s">
        <v>430</v>
      </c>
      <c r="F26" t="s">
        <v>517</v>
      </c>
      <c r="G26" t="s">
        <v>518</v>
      </c>
      <c r="H26" t="s">
        <v>442</v>
      </c>
      <c r="I26" t="s">
        <v>519</v>
      </c>
    </row>
    <row r="27" spans="1:9" x14ac:dyDescent="0.25">
      <c r="A27" t="s">
        <v>969</v>
      </c>
      <c r="B27">
        <v>5</v>
      </c>
      <c r="C27" t="s">
        <v>970</v>
      </c>
      <c r="D27" t="str">
        <f t="shared" si="0"/>
        <v>TO-s5-PAR</v>
      </c>
      <c r="E27" t="s">
        <v>424</v>
      </c>
      <c r="F27" t="s">
        <v>520</v>
      </c>
      <c r="G27" t="s">
        <v>521</v>
      </c>
      <c r="H27" t="s">
        <v>522</v>
      </c>
      <c r="I27" t="s">
        <v>523</v>
      </c>
    </row>
    <row r="28" spans="1:9" x14ac:dyDescent="0.25">
      <c r="A28" t="s">
        <v>969</v>
      </c>
      <c r="B28">
        <v>5</v>
      </c>
      <c r="C28" t="s">
        <v>970</v>
      </c>
      <c r="D28" t="str">
        <f t="shared" si="0"/>
        <v>TO-s5-PAR</v>
      </c>
      <c r="E28" t="s">
        <v>431</v>
      </c>
      <c r="F28" t="s">
        <v>524</v>
      </c>
      <c r="G28" t="s">
        <v>525</v>
      </c>
      <c r="H28" t="s">
        <v>526</v>
      </c>
      <c r="I28" t="s">
        <v>527</v>
      </c>
    </row>
    <row r="29" spans="1:9" x14ac:dyDescent="0.25">
      <c r="A29" t="s">
        <v>969</v>
      </c>
      <c r="B29">
        <v>5</v>
      </c>
      <c r="C29" t="s">
        <v>970</v>
      </c>
      <c r="D29" t="str">
        <f t="shared" si="0"/>
        <v>TO-s5-PAR</v>
      </c>
      <c r="E29" t="s">
        <v>432</v>
      </c>
      <c r="F29" t="s">
        <v>528</v>
      </c>
      <c r="G29" t="s">
        <v>529</v>
      </c>
      <c r="H29" t="s">
        <v>530</v>
      </c>
      <c r="I29" t="s">
        <v>531</v>
      </c>
    </row>
    <row r="30" spans="1:9" x14ac:dyDescent="0.25">
      <c r="A30" t="s">
        <v>969</v>
      </c>
      <c r="B30">
        <v>5</v>
      </c>
      <c r="C30" t="s">
        <v>970</v>
      </c>
      <c r="D30" t="str">
        <f t="shared" si="0"/>
        <v>TO-s5-PAR</v>
      </c>
      <c r="E30" t="s">
        <v>433</v>
      </c>
      <c r="F30" t="s">
        <v>532</v>
      </c>
      <c r="G30" t="s">
        <v>533</v>
      </c>
      <c r="H30" t="s">
        <v>474</v>
      </c>
      <c r="I30" t="s">
        <v>534</v>
      </c>
    </row>
    <row r="31" spans="1:9" x14ac:dyDescent="0.25">
      <c r="A31" t="s">
        <v>969</v>
      </c>
      <c r="B31">
        <v>5</v>
      </c>
      <c r="C31" t="s">
        <v>970</v>
      </c>
      <c r="D31" t="str">
        <f t="shared" si="0"/>
        <v>TO-s5-PAR</v>
      </c>
      <c r="E31" t="s">
        <v>434</v>
      </c>
      <c r="F31" t="s">
        <v>535</v>
      </c>
      <c r="G31" t="s">
        <v>536</v>
      </c>
      <c r="H31" t="s">
        <v>94</v>
      </c>
      <c r="I31" t="s">
        <v>538</v>
      </c>
    </row>
    <row r="32" spans="1:9" x14ac:dyDescent="0.25">
      <c r="A32" t="s">
        <v>969</v>
      </c>
      <c r="B32">
        <v>6</v>
      </c>
      <c r="C32" t="s">
        <v>970</v>
      </c>
      <c r="D32" t="str">
        <f t="shared" si="0"/>
        <v>TO-s6-PAR</v>
      </c>
      <c r="E32" t="s">
        <v>430</v>
      </c>
      <c r="F32" t="s">
        <v>539</v>
      </c>
      <c r="G32" t="s">
        <v>540</v>
      </c>
      <c r="H32" t="s">
        <v>169</v>
      </c>
      <c r="I32" t="s">
        <v>541</v>
      </c>
    </row>
    <row r="33" spans="1:9" x14ac:dyDescent="0.25">
      <c r="A33" t="s">
        <v>969</v>
      </c>
      <c r="B33">
        <v>6</v>
      </c>
      <c r="C33" t="s">
        <v>970</v>
      </c>
      <c r="D33" t="str">
        <f t="shared" si="0"/>
        <v>TO-s6-PAR</v>
      </c>
      <c r="E33" t="s">
        <v>424</v>
      </c>
      <c r="F33" t="s">
        <v>542</v>
      </c>
      <c r="G33" t="s">
        <v>543</v>
      </c>
      <c r="H33" t="s">
        <v>175</v>
      </c>
      <c r="I33" t="s">
        <v>544</v>
      </c>
    </row>
    <row r="34" spans="1:9" x14ac:dyDescent="0.25">
      <c r="A34" t="s">
        <v>969</v>
      </c>
      <c r="B34">
        <v>6</v>
      </c>
      <c r="C34" t="s">
        <v>970</v>
      </c>
      <c r="D34" t="str">
        <f t="shared" si="0"/>
        <v>TO-s6-PAR</v>
      </c>
      <c r="E34" t="s">
        <v>431</v>
      </c>
      <c r="F34" t="s">
        <v>545</v>
      </c>
      <c r="G34" t="s">
        <v>546</v>
      </c>
      <c r="H34" t="s">
        <v>459</v>
      </c>
      <c r="I34" t="s">
        <v>547</v>
      </c>
    </row>
    <row r="35" spans="1:9" x14ac:dyDescent="0.25">
      <c r="A35" t="s">
        <v>969</v>
      </c>
      <c r="B35">
        <v>6</v>
      </c>
      <c r="C35" t="s">
        <v>970</v>
      </c>
      <c r="D35" t="str">
        <f t="shared" si="0"/>
        <v>TO-s6-PAR</v>
      </c>
      <c r="E35" t="s">
        <v>432</v>
      </c>
      <c r="F35" t="s">
        <v>548</v>
      </c>
      <c r="G35" t="s">
        <v>549</v>
      </c>
      <c r="H35" t="s">
        <v>550</v>
      </c>
      <c r="I35" t="s">
        <v>551</v>
      </c>
    </row>
    <row r="36" spans="1:9" x14ac:dyDescent="0.25">
      <c r="A36" t="s">
        <v>969</v>
      </c>
      <c r="B36">
        <v>6</v>
      </c>
      <c r="C36" t="s">
        <v>970</v>
      </c>
      <c r="D36" t="str">
        <f t="shared" si="0"/>
        <v>TO-s6-PAR</v>
      </c>
      <c r="E36" t="s">
        <v>433</v>
      </c>
      <c r="F36" t="s">
        <v>552</v>
      </c>
      <c r="G36" t="s">
        <v>553</v>
      </c>
      <c r="H36" t="s">
        <v>554</v>
      </c>
      <c r="I36" t="s">
        <v>555</v>
      </c>
    </row>
    <row r="37" spans="1:9" x14ac:dyDescent="0.25">
      <c r="A37" t="s">
        <v>969</v>
      </c>
      <c r="B37">
        <v>6</v>
      </c>
      <c r="C37" t="s">
        <v>970</v>
      </c>
      <c r="D37" t="str">
        <f t="shared" si="0"/>
        <v>TO-s6-PAR</v>
      </c>
      <c r="E37" t="s">
        <v>434</v>
      </c>
      <c r="F37" t="s">
        <v>556</v>
      </c>
      <c r="G37" t="s">
        <v>557</v>
      </c>
      <c r="H37" t="s">
        <v>87</v>
      </c>
      <c r="I37" t="s">
        <v>558</v>
      </c>
    </row>
    <row r="38" spans="1:9" x14ac:dyDescent="0.25">
      <c r="A38" t="s">
        <v>969</v>
      </c>
      <c r="B38">
        <v>7</v>
      </c>
      <c r="C38" t="s">
        <v>970</v>
      </c>
      <c r="D38" t="str">
        <f t="shared" si="0"/>
        <v>TO-s7-PAR</v>
      </c>
      <c r="E38" t="s">
        <v>430</v>
      </c>
      <c r="F38" t="s">
        <v>559</v>
      </c>
      <c r="G38" t="s">
        <v>560</v>
      </c>
      <c r="H38" t="s">
        <v>466</v>
      </c>
      <c r="I38" t="s">
        <v>561</v>
      </c>
    </row>
    <row r="39" spans="1:9" x14ac:dyDescent="0.25">
      <c r="A39" t="s">
        <v>969</v>
      </c>
      <c r="B39">
        <v>7</v>
      </c>
      <c r="C39" t="s">
        <v>970</v>
      </c>
      <c r="D39" t="str">
        <f t="shared" si="0"/>
        <v>TO-s7-PAR</v>
      </c>
      <c r="E39" t="s">
        <v>424</v>
      </c>
      <c r="F39" t="s">
        <v>562</v>
      </c>
      <c r="G39" t="s">
        <v>563</v>
      </c>
      <c r="H39" t="s">
        <v>564</v>
      </c>
      <c r="I39" t="s">
        <v>565</v>
      </c>
    </row>
    <row r="40" spans="1:9" x14ac:dyDescent="0.25">
      <c r="A40" t="s">
        <v>969</v>
      </c>
      <c r="B40">
        <v>7</v>
      </c>
      <c r="C40" t="s">
        <v>970</v>
      </c>
      <c r="D40" t="str">
        <f t="shared" si="0"/>
        <v>TO-s7-PAR</v>
      </c>
      <c r="E40" t="s">
        <v>431</v>
      </c>
      <c r="F40" t="s">
        <v>566</v>
      </c>
      <c r="G40" t="s">
        <v>567</v>
      </c>
      <c r="H40" t="s">
        <v>169</v>
      </c>
      <c r="I40" t="s">
        <v>568</v>
      </c>
    </row>
    <row r="41" spans="1:9" x14ac:dyDescent="0.25">
      <c r="A41" t="s">
        <v>969</v>
      </c>
      <c r="B41">
        <v>7</v>
      </c>
      <c r="C41" t="s">
        <v>970</v>
      </c>
      <c r="D41" t="str">
        <f t="shared" si="0"/>
        <v>TO-s7-PAR</v>
      </c>
      <c r="E41" t="s">
        <v>432</v>
      </c>
      <c r="F41" t="s">
        <v>569</v>
      </c>
      <c r="G41" t="s">
        <v>570</v>
      </c>
      <c r="H41" t="s">
        <v>427</v>
      </c>
      <c r="I41" t="s">
        <v>571</v>
      </c>
    </row>
    <row r="42" spans="1:9" x14ac:dyDescent="0.25">
      <c r="A42" t="s">
        <v>969</v>
      </c>
      <c r="B42">
        <v>7</v>
      </c>
      <c r="C42" t="s">
        <v>970</v>
      </c>
      <c r="D42" t="str">
        <f t="shared" si="0"/>
        <v>TO-s7-PAR</v>
      </c>
      <c r="E42" t="s">
        <v>433</v>
      </c>
      <c r="F42" t="s">
        <v>572</v>
      </c>
      <c r="G42" t="s">
        <v>573</v>
      </c>
      <c r="H42" t="s">
        <v>526</v>
      </c>
      <c r="I42" t="s">
        <v>574</v>
      </c>
    </row>
    <row r="43" spans="1:9" x14ac:dyDescent="0.25">
      <c r="A43" t="s">
        <v>969</v>
      </c>
      <c r="B43">
        <v>7</v>
      </c>
      <c r="C43" t="s">
        <v>970</v>
      </c>
      <c r="D43" t="str">
        <f t="shared" si="0"/>
        <v>TO-s7-PAR</v>
      </c>
      <c r="E43" t="s">
        <v>434</v>
      </c>
      <c r="F43" t="s">
        <v>575</v>
      </c>
      <c r="G43" t="s">
        <v>576</v>
      </c>
      <c r="H43" t="s">
        <v>481</v>
      </c>
      <c r="I43" t="s">
        <v>577</v>
      </c>
    </row>
    <row r="44" spans="1:9" x14ac:dyDescent="0.25">
      <c r="A44" t="s">
        <v>969</v>
      </c>
      <c r="B44">
        <v>8</v>
      </c>
      <c r="C44" t="s">
        <v>970</v>
      </c>
      <c r="D44" t="str">
        <f t="shared" si="0"/>
        <v>TO-s8-PAR</v>
      </c>
      <c r="E44" t="s">
        <v>430</v>
      </c>
      <c r="F44" t="s">
        <v>578</v>
      </c>
      <c r="G44" t="s">
        <v>579</v>
      </c>
      <c r="H44" t="s">
        <v>580</v>
      </c>
      <c r="I44" t="s">
        <v>581</v>
      </c>
    </row>
    <row r="45" spans="1:9" x14ac:dyDescent="0.25">
      <c r="A45" t="s">
        <v>969</v>
      </c>
      <c r="B45">
        <v>8</v>
      </c>
      <c r="C45" t="s">
        <v>970</v>
      </c>
      <c r="D45" t="str">
        <f t="shared" si="0"/>
        <v>TO-s8-PAR</v>
      </c>
      <c r="E45" t="s">
        <v>424</v>
      </c>
      <c r="F45" t="s">
        <v>582</v>
      </c>
      <c r="G45" t="s">
        <v>583</v>
      </c>
      <c r="H45" t="s">
        <v>481</v>
      </c>
      <c r="I45" t="s">
        <v>584</v>
      </c>
    </row>
    <row r="46" spans="1:9" x14ac:dyDescent="0.25">
      <c r="A46" t="s">
        <v>969</v>
      </c>
      <c r="B46">
        <v>8</v>
      </c>
      <c r="C46" t="s">
        <v>970</v>
      </c>
      <c r="D46" t="str">
        <f t="shared" si="0"/>
        <v>TO-s8-PAR</v>
      </c>
      <c r="E46" t="s">
        <v>431</v>
      </c>
      <c r="F46" t="s">
        <v>585</v>
      </c>
      <c r="G46" t="s">
        <v>74</v>
      </c>
      <c r="H46" t="s">
        <v>586</v>
      </c>
      <c r="I46" t="s">
        <v>587</v>
      </c>
    </row>
    <row r="47" spans="1:9" x14ac:dyDescent="0.25">
      <c r="A47" t="s">
        <v>969</v>
      </c>
      <c r="B47">
        <v>8</v>
      </c>
      <c r="C47" t="s">
        <v>970</v>
      </c>
      <c r="D47" t="str">
        <f t="shared" si="0"/>
        <v>TO-s8-PAR</v>
      </c>
      <c r="E47" t="s">
        <v>432</v>
      </c>
      <c r="F47" t="s">
        <v>588</v>
      </c>
      <c r="G47" t="s">
        <v>589</v>
      </c>
      <c r="H47" t="s">
        <v>590</v>
      </c>
      <c r="I47" t="s">
        <v>591</v>
      </c>
    </row>
    <row r="48" spans="1:9" x14ac:dyDescent="0.25">
      <c r="A48" t="s">
        <v>969</v>
      </c>
      <c r="B48">
        <v>8</v>
      </c>
      <c r="C48" t="s">
        <v>970</v>
      </c>
      <c r="D48" t="str">
        <f t="shared" si="0"/>
        <v>TO-s8-PAR</v>
      </c>
      <c r="E48" t="s">
        <v>433</v>
      </c>
      <c r="F48" t="s">
        <v>592</v>
      </c>
      <c r="G48" t="s">
        <v>593</v>
      </c>
      <c r="H48" t="s">
        <v>594</v>
      </c>
      <c r="I48" t="s">
        <v>595</v>
      </c>
    </row>
    <row r="49" spans="1:9" x14ac:dyDescent="0.25">
      <c r="A49" t="s">
        <v>969</v>
      </c>
      <c r="B49">
        <v>8</v>
      </c>
      <c r="C49" t="s">
        <v>970</v>
      </c>
      <c r="D49" t="str">
        <f t="shared" si="0"/>
        <v>TO-s8-PAR</v>
      </c>
      <c r="E49" t="s">
        <v>434</v>
      </c>
      <c r="F49" t="s">
        <v>596</v>
      </c>
      <c r="G49" t="s">
        <v>597</v>
      </c>
      <c r="H49" t="s">
        <v>598</v>
      </c>
      <c r="I49" t="s">
        <v>599</v>
      </c>
    </row>
    <row r="50" spans="1:9" x14ac:dyDescent="0.25">
      <c r="A50" t="s">
        <v>969</v>
      </c>
      <c r="B50">
        <v>9</v>
      </c>
      <c r="C50" t="s">
        <v>970</v>
      </c>
      <c r="D50" t="str">
        <f t="shared" si="0"/>
        <v>TO-s9-PAR</v>
      </c>
      <c r="E50" t="s">
        <v>430</v>
      </c>
      <c r="F50" t="s">
        <v>600</v>
      </c>
      <c r="G50" t="s">
        <v>601</v>
      </c>
      <c r="H50" t="s">
        <v>602</v>
      </c>
      <c r="I50" t="s">
        <v>603</v>
      </c>
    </row>
    <row r="51" spans="1:9" x14ac:dyDescent="0.25">
      <c r="A51" t="s">
        <v>969</v>
      </c>
      <c r="B51">
        <v>9</v>
      </c>
      <c r="C51" t="s">
        <v>970</v>
      </c>
      <c r="D51" t="str">
        <f t="shared" si="0"/>
        <v>TO-s9-PAR</v>
      </c>
      <c r="E51" t="s">
        <v>424</v>
      </c>
      <c r="F51" t="s">
        <v>604</v>
      </c>
      <c r="G51" t="s">
        <v>605</v>
      </c>
      <c r="H51" t="s">
        <v>459</v>
      </c>
      <c r="I51" t="s">
        <v>606</v>
      </c>
    </row>
    <row r="52" spans="1:9" x14ac:dyDescent="0.25">
      <c r="A52" t="s">
        <v>969</v>
      </c>
      <c r="B52">
        <v>9</v>
      </c>
      <c r="C52" t="s">
        <v>970</v>
      </c>
      <c r="D52" t="str">
        <f t="shared" si="0"/>
        <v>TO-s9-PAR</v>
      </c>
      <c r="E52" t="s">
        <v>431</v>
      </c>
      <c r="F52" t="s">
        <v>607</v>
      </c>
      <c r="G52" t="s">
        <v>608</v>
      </c>
      <c r="H52" t="s">
        <v>120</v>
      </c>
      <c r="I52" t="s">
        <v>609</v>
      </c>
    </row>
    <row r="53" spans="1:9" x14ac:dyDescent="0.25">
      <c r="A53" t="s">
        <v>969</v>
      </c>
      <c r="B53">
        <v>9</v>
      </c>
      <c r="C53" t="s">
        <v>970</v>
      </c>
      <c r="D53" t="str">
        <f t="shared" si="0"/>
        <v>TO-s9-PAR</v>
      </c>
      <c r="E53" t="s">
        <v>432</v>
      </c>
      <c r="F53" t="s">
        <v>610</v>
      </c>
      <c r="G53" t="s">
        <v>611</v>
      </c>
      <c r="H53" t="s">
        <v>466</v>
      </c>
      <c r="I53" t="s">
        <v>612</v>
      </c>
    </row>
    <row r="54" spans="1:9" x14ac:dyDescent="0.25">
      <c r="A54" t="s">
        <v>969</v>
      </c>
      <c r="B54">
        <v>9</v>
      </c>
      <c r="C54" t="s">
        <v>970</v>
      </c>
      <c r="D54" t="str">
        <f t="shared" si="0"/>
        <v>TO-s9-PAR</v>
      </c>
      <c r="E54" t="s">
        <v>433</v>
      </c>
      <c r="F54" t="s">
        <v>613</v>
      </c>
      <c r="G54" t="s">
        <v>614</v>
      </c>
      <c r="H54" t="s">
        <v>175</v>
      </c>
      <c r="I54" t="s">
        <v>615</v>
      </c>
    </row>
    <row r="55" spans="1:9" x14ac:dyDescent="0.25">
      <c r="A55" t="s">
        <v>969</v>
      </c>
      <c r="B55">
        <v>9</v>
      </c>
      <c r="C55" t="s">
        <v>970</v>
      </c>
      <c r="D55" t="str">
        <f t="shared" si="0"/>
        <v>TO-s9-PAR</v>
      </c>
      <c r="E55" t="s">
        <v>434</v>
      </c>
      <c r="F55" t="s">
        <v>616</v>
      </c>
      <c r="G55" t="s">
        <v>617</v>
      </c>
      <c r="H55" t="s">
        <v>618</v>
      </c>
      <c r="I55" t="s">
        <v>619</v>
      </c>
    </row>
    <row r="56" spans="1:9" x14ac:dyDescent="0.25">
      <c r="A56" t="s">
        <v>969</v>
      </c>
      <c r="B56">
        <v>10</v>
      </c>
      <c r="C56" t="s">
        <v>970</v>
      </c>
      <c r="D56" t="str">
        <f t="shared" si="0"/>
        <v>TO-s10-PAR</v>
      </c>
      <c r="E56" t="s">
        <v>430</v>
      </c>
      <c r="F56" t="s">
        <v>620</v>
      </c>
      <c r="G56" t="s">
        <v>621</v>
      </c>
      <c r="H56" t="s">
        <v>622</v>
      </c>
      <c r="I56" t="s">
        <v>623</v>
      </c>
    </row>
    <row r="57" spans="1:9" x14ac:dyDescent="0.25">
      <c r="A57" t="s">
        <v>969</v>
      </c>
      <c r="B57">
        <v>10</v>
      </c>
      <c r="C57" t="s">
        <v>970</v>
      </c>
      <c r="D57" t="str">
        <f t="shared" ref="D57:D114" si="2">_xlfn.CONCAT("TO-s",B57,"-PAR")</f>
        <v>TO-s10-PAR</v>
      </c>
      <c r="E57" t="s">
        <v>424</v>
      </c>
      <c r="F57" t="s">
        <v>624</v>
      </c>
      <c r="G57" t="s">
        <v>625</v>
      </c>
      <c r="H57" t="s">
        <v>626</v>
      </c>
      <c r="I57" t="s">
        <v>385</v>
      </c>
    </row>
    <row r="58" spans="1:9" x14ac:dyDescent="0.25">
      <c r="A58" t="s">
        <v>969</v>
      </c>
      <c r="B58">
        <v>10</v>
      </c>
      <c r="C58" t="s">
        <v>970</v>
      </c>
      <c r="D58" t="str">
        <f t="shared" si="2"/>
        <v>TO-s10-PAR</v>
      </c>
      <c r="E58" t="s">
        <v>431</v>
      </c>
      <c r="F58" t="s">
        <v>627</v>
      </c>
      <c r="G58" t="s">
        <v>628</v>
      </c>
      <c r="H58" t="s">
        <v>629</v>
      </c>
      <c r="I58" t="s">
        <v>630</v>
      </c>
    </row>
    <row r="59" spans="1:9" x14ac:dyDescent="0.25">
      <c r="A59" t="s">
        <v>969</v>
      </c>
      <c r="B59">
        <v>10</v>
      </c>
      <c r="C59" t="s">
        <v>970</v>
      </c>
      <c r="D59" t="str">
        <f t="shared" si="2"/>
        <v>TO-s10-PAR</v>
      </c>
      <c r="E59" t="s">
        <v>432</v>
      </c>
      <c r="F59" t="s">
        <v>631</v>
      </c>
      <c r="G59" t="s">
        <v>632</v>
      </c>
      <c r="H59" t="s">
        <v>133</v>
      </c>
      <c r="I59" t="s">
        <v>633</v>
      </c>
    </row>
    <row r="60" spans="1:9" x14ac:dyDescent="0.25">
      <c r="A60" t="s">
        <v>969</v>
      </c>
      <c r="B60">
        <v>10</v>
      </c>
      <c r="C60" t="s">
        <v>970</v>
      </c>
      <c r="D60" t="str">
        <f t="shared" si="2"/>
        <v>TO-s10-PAR</v>
      </c>
      <c r="E60" t="s">
        <v>433</v>
      </c>
      <c r="F60" t="s">
        <v>634</v>
      </c>
      <c r="G60" t="s">
        <v>635</v>
      </c>
      <c r="H60" t="s">
        <v>636</v>
      </c>
      <c r="I60" t="s">
        <v>637</v>
      </c>
    </row>
    <row r="61" spans="1:9" x14ac:dyDescent="0.25">
      <c r="A61" t="s">
        <v>969</v>
      </c>
      <c r="B61">
        <v>10</v>
      </c>
      <c r="C61" t="s">
        <v>970</v>
      </c>
      <c r="D61" t="str">
        <f t="shared" si="2"/>
        <v>TO-s10-PAR</v>
      </c>
      <c r="E61" t="s">
        <v>434</v>
      </c>
      <c r="F61" t="s">
        <v>638</v>
      </c>
      <c r="G61" t="s">
        <v>639</v>
      </c>
      <c r="H61" t="s">
        <v>640</v>
      </c>
      <c r="I61" t="s">
        <v>641</v>
      </c>
    </row>
    <row r="62" spans="1:9" x14ac:dyDescent="0.25">
      <c r="A62" t="s">
        <v>969</v>
      </c>
      <c r="B62">
        <v>11</v>
      </c>
      <c r="C62" t="s">
        <v>970</v>
      </c>
      <c r="D62" t="str">
        <f>_xlfn.CONCAT("TO-s",B62,"-PAR")</f>
        <v>TO-s11-PAR</v>
      </c>
      <c r="E62" t="s">
        <v>430</v>
      </c>
      <c r="F62" t="s">
        <v>642</v>
      </c>
      <c r="G62" t="s">
        <v>643</v>
      </c>
      <c r="H62" t="s">
        <v>488</v>
      </c>
      <c r="I62" t="s">
        <v>644</v>
      </c>
    </row>
    <row r="63" spans="1:9" x14ac:dyDescent="0.25">
      <c r="A63" t="s">
        <v>969</v>
      </c>
      <c r="B63">
        <v>11</v>
      </c>
      <c r="C63" t="s">
        <v>970</v>
      </c>
      <c r="D63" t="str">
        <f t="shared" si="2"/>
        <v>TO-s11-PAR</v>
      </c>
      <c r="E63" t="s">
        <v>424</v>
      </c>
      <c r="F63" t="s">
        <v>645</v>
      </c>
      <c r="G63" t="s">
        <v>646</v>
      </c>
      <c r="H63" t="s">
        <v>133</v>
      </c>
      <c r="I63" t="s">
        <v>647</v>
      </c>
    </row>
    <row r="64" spans="1:9" x14ac:dyDescent="0.25">
      <c r="A64" t="s">
        <v>969</v>
      </c>
      <c r="B64">
        <v>11</v>
      </c>
      <c r="C64" t="s">
        <v>970</v>
      </c>
      <c r="D64" t="str">
        <f t="shared" si="2"/>
        <v>TO-s11-PAR</v>
      </c>
      <c r="E64" t="s">
        <v>431</v>
      </c>
      <c r="F64" t="s">
        <v>648</v>
      </c>
      <c r="G64" t="s">
        <v>649</v>
      </c>
      <c r="H64" t="s">
        <v>175</v>
      </c>
      <c r="I64" t="s">
        <v>650</v>
      </c>
    </row>
    <row r="65" spans="1:9" x14ac:dyDescent="0.25">
      <c r="A65" t="s">
        <v>969</v>
      </c>
      <c r="B65">
        <v>11</v>
      </c>
      <c r="C65" t="s">
        <v>970</v>
      </c>
      <c r="D65" t="str">
        <f t="shared" si="2"/>
        <v>TO-s11-PAR</v>
      </c>
      <c r="E65" t="s">
        <v>432</v>
      </c>
      <c r="F65" t="s">
        <v>651</v>
      </c>
      <c r="G65" t="s">
        <v>652</v>
      </c>
      <c r="H65" t="s">
        <v>653</v>
      </c>
      <c r="I65" t="s">
        <v>654</v>
      </c>
    </row>
    <row r="66" spans="1:9" x14ac:dyDescent="0.25">
      <c r="A66" t="s">
        <v>969</v>
      </c>
      <c r="B66">
        <v>11</v>
      </c>
      <c r="C66" t="s">
        <v>970</v>
      </c>
      <c r="D66" t="str">
        <f t="shared" si="2"/>
        <v>TO-s11-PAR</v>
      </c>
      <c r="E66" t="s">
        <v>433</v>
      </c>
      <c r="F66" t="s">
        <v>655</v>
      </c>
      <c r="G66" t="s">
        <v>656</v>
      </c>
      <c r="H66" t="s">
        <v>618</v>
      </c>
      <c r="I66" t="s">
        <v>657</v>
      </c>
    </row>
    <row r="67" spans="1:9" x14ac:dyDescent="0.25">
      <c r="A67" t="s">
        <v>969</v>
      </c>
      <c r="B67">
        <v>11</v>
      </c>
      <c r="C67" t="s">
        <v>970</v>
      </c>
      <c r="D67" t="str">
        <f t="shared" si="2"/>
        <v>TO-s11-PAR</v>
      </c>
      <c r="E67" t="s">
        <v>434</v>
      </c>
      <c r="F67" t="s">
        <v>658</v>
      </c>
      <c r="G67" t="s">
        <v>659</v>
      </c>
      <c r="H67" t="s">
        <v>580</v>
      </c>
      <c r="I67" t="s">
        <v>389</v>
      </c>
    </row>
    <row r="68" spans="1:9" x14ac:dyDescent="0.25">
      <c r="A68" t="s">
        <v>969</v>
      </c>
      <c r="B68">
        <v>12</v>
      </c>
      <c r="C68" t="s">
        <v>970</v>
      </c>
      <c r="D68" t="str">
        <f>_xlfn.CONCAT("TO-s",B68,"-PAR")</f>
        <v>TO-s12-PAR</v>
      </c>
      <c r="E68" t="s">
        <v>430</v>
      </c>
      <c r="F68" t="s">
        <v>660</v>
      </c>
      <c r="G68" t="s">
        <v>661</v>
      </c>
      <c r="H68" t="s">
        <v>455</v>
      </c>
      <c r="I68" t="s">
        <v>662</v>
      </c>
    </row>
    <row r="69" spans="1:9" x14ac:dyDescent="0.25">
      <c r="A69" t="s">
        <v>969</v>
      </c>
      <c r="B69">
        <v>12</v>
      </c>
      <c r="C69" t="s">
        <v>970</v>
      </c>
      <c r="D69" t="str">
        <f t="shared" si="2"/>
        <v>TO-s12-PAR</v>
      </c>
      <c r="E69" t="s">
        <v>424</v>
      </c>
      <c r="F69" t="s">
        <v>663</v>
      </c>
      <c r="G69" t="s">
        <v>664</v>
      </c>
      <c r="H69" t="s">
        <v>590</v>
      </c>
      <c r="I69" t="s">
        <v>665</v>
      </c>
    </row>
    <row r="70" spans="1:9" x14ac:dyDescent="0.25">
      <c r="A70" t="s">
        <v>969</v>
      </c>
      <c r="B70">
        <v>12</v>
      </c>
      <c r="C70" t="s">
        <v>970</v>
      </c>
      <c r="D70" t="str">
        <f t="shared" si="2"/>
        <v>TO-s12-PAR</v>
      </c>
      <c r="E70" t="s">
        <v>431</v>
      </c>
      <c r="F70" t="s">
        <v>666</v>
      </c>
      <c r="G70" t="s">
        <v>667</v>
      </c>
      <c r="H70" t="s">
        <v>668</v>
      </c>
      <c r="I70" t="s">
        <v>669</v>
      </c>
    </row>
    <row r="71" spans="1:9" x14ac:dyDescent="0.25">
      <c r="A71" t="s">
        <v>969</v>
      </c>
      <c r="B71">
        <v>12</v>
      </c>
      <c r="C71" t="s">
        <v>970</v>
      </c>
      <c r="D71" t="str">
        <f t="shared" si="2"/>
        <v>TO-s12-PAR</v>
      </c>
      <c r="E71" t="s">
        <v>432</v>
      </c>
      <c r="F71" t="s">
        <v>670</v>
      </c>
      <c r="G71" t="s">
        <v>671</v>
      </c>
      <c r="H71" t="s">
        <v>175</v>
      </c>
      <c r="I71" t="s">
        <v>672</v>
      </c>
    </row>
    <row r="72" spans="1:9" x14ac:dyDescent="0.25">
      <c r="A72" t="s">
        <v>969</v>
      </c>
      <c r="B72">
        <v>12</v>
      </c>
      <c r="C72" t="s">
        <v>970</v>
      </c>
      <c r="D72" t="str">
        <f t="shared" si="2"/>
        <v>TO-s12-PAR</v>
      </c>
      <c r="E72" t="s">
        <v>433</v>
      </c>
      <c r="F72" t="s">
        <v>673</v>
      </c>
      <c r="G72" t="s">
        <v>674</v>
      </c>
      <c r="H72" t="s">
        <v>502</v>
      </c>
      <c r="I72" t="s">
        <v>675</v>
      </c>
    </row>
    <row r="73" spans="1:9" x14ac:dyDescent="0.25">
      <c r="A73" t="s">
        <v>969</v>
      </c>
      <c r="B73">
        <v>12</v>
      </c>
      <c r="C73" t="s">
        <v>970</v>
      </c>
      <c r="D73" t="str">
        <f t="shared" si="2"/>
        <v>TO-s12-PAR</v>
      </c>
      <c r="E73" t="s">
        <v>434</v>
      </c>
      <c r="F73" t="s">
        <v>676</v>
      </c>
      <c r="G73" t="s">
        <v>677</v>
      </c>
      <c r="H73" t="s">
        <v>502</v>
      </c>
      <c r="I73" t="s">
        <v>678</v>
      </c>
    </row>
    <row r="74" spans="1:9" x14ac:dyDescent="0.25">
      <c r="A74" t="s">
        <v>969</v>
      </c>
      <c r="B74">
        <v>13</v>
      </c>
      <c r="C74" t="s">
        <v>970</v>
      </c>
      <c r="D74" t="str">
        <f>_xlfn.CONCAT("TO-s",B74,"-PAR")</f>
        <v>TO-s13-PAR</v>
      </c>
      <c r="E74" t="s">
        <v>430</v>
      </c>
      <c r="F74" t="s">
        <v>679</v>
      </c>
      <c r="G74" t="s">
        <v>680</v>
      </c>
      <c r="H74" t="s">
        <v>681</v>
      </c>
      <c r="I74" t="s">
        <v>682</v>
      </c>
    </row>
    <row r="75" spans="1:9" x14ac:dyDescent="0.25">
      <c r="A75" t="s">
        <v>969</v>
      </c>
      <c r="B75">
        <v>13</v>
      </c>
      <c r="C75" t="s">
        <v>970</v>
      </c>
      <c r="D75" t="str">
        <f t="shared" si="2"/>
        <v>TO-s13-PAR</v>
      </c>
      <c r="E75" t="s">
        <v>424</v>
      </c>
      <c r="F75" t="s">
        <v>683</v>
      </c>
      <c r="G75" t="s">
        <v>684</v>
      </c>
      <c r="H75" t="s">
        <v>685</v>
      </c>
      <c r="I75" t="s">
        <v>686</v>
      </c>
    </row>
    <row r="76" spans="1:9" x14ac:dyDescent="0.25">
      <c r="A76" t="s">
        <v>969</v>
      </c>
      <c r="B76">
        <v>13</v>
      </c>
      <c r="C76" t="s">
        <v>970</v>
      </c>
      <c r="D76" t="str">
        <f t="shared" si="2"/>
        <v>TO-s13-PAR</v>
      </c>
      <c r="E76" t="s">
        <v>431</v>
      </c>
      <c r="F76" t="s">
        <v>687</v>
      </c>
      <c r="G76" t="s">
        <v>688</v>
      </c>
      <c r="H76" t="s">
        <v>689</v>
      </c>
      <c r="I76" t="s">
        <v>690</v>
      </c>
    </row>
    <row r="77" spans="1:9" x14ac:dyDescent="0.25">
      <c r="A77" t="s">
        <v>969</v>
      </c>
      <c r="B77">
        <v>13</v>
      </c>
      <c r="C77" t="s">
        <v>970</v>
      </c>
      <c r="D77" t="str">
        <f t="shared" si="2"/>
        <v>TO-s13-PAR</v>
      </c>
      <c r="E77" t="s">
        <v>432</v>
      </c>
      <c r="F77" t="s">
        <v>691</v>
      </c>
      <c r="G77" t="s">
        <v>692</v>
      </c>
      <c r="H77" t="s">
        <v>470</v>
      </c>
      <c r="I77" t="s">
        <v>693</v>
      </c>
    </row>
    <row r="78" spans="1:9" x14ac:dyDescent="0.25">
      <c r="A78" t="s">
        <v>969</v>
      </c>
      <c r="B78">
        <v>13</v>
      </c>
      <c r="C78" t="s">
        <v>970</v>
      </c>
      <c r="D78" t="str">
        <f t="shared" si="2"/>
        <v>TO-s13-PAR</v>
      </c>
      <c r="E78" t="s">
        <v>433</v>
      </c>
      <c r="F78" t="s">
        <v>694</v>
      </c>
      <c r="G78" t="s">
        <v>695</v>
      </c>
      <c r="H78" t="s">
        <v>696</v>
      </c>
      <c r="I78" t="s">
        <v>391</v>
      </c>
    </row>
    <row r="79" spans="1:9" x14ac:dyDescent="0.25">
      <c r="A79" t="s">
        <v>969</v>
      </c>
      <c r="B79">
        <v>13</v>
      </c>
      <c r="C79" t="s">
        <v>970</v>
      </c>
      <c r="D79" t="str">
        <f t="shared" si="2"/>
        <v>TO-s13-PAR</v>
      </c>
      <c r="E79" t="s">
        <v>434</v>
      </c>
      <c r="F79" t="s">
        <v>697</v>
      </c>
      <c r="G79" t="s">
        <v>698</v>
      </c>
      <c r="H79" t="s">
        <v>438</v>
      </c>
      <c r="I79" t="s">
        <v>699</v>
      </c>
    </row>
    <row r="80" spans="1:9" x14ac:dyDescent="0.25">
      <c r="A80" t="s">
        <v>969</v>
      </c>
      <c r="B80">
        <v>14</v>
      </c>
      <c r="C80" t="s">
        <v>970</v>
      </c>
      <c r="D80" t="str">
        <f>_xlfn.CONCAT("TO-s",B80,"-PAR")</f>
        <v>TO-s14-PAR</v>
      </c>
      <c r="E80" t="s">
        <v>430</v>
      </c>
      <c r="F80" t="s">
        <v>700</v>
      </c>
      <c r="G80" t="s">
        <v>701</v>
      </c>
      <c r="H80" t="s">
        <v>466</v>
      </c>
      <c r="I80" t="s">
        <v>702</v>
      </c>
    </row>
    <row r="81" spans="1:9" x14ac:dyDescent="0.25">
      <c r="A81" t="s">
        <v>969</v>
      </c>
      <c r="B81">
        <v>14</v>
      </c>
      <c r="C81" t="s">
        <v>970</v>
      </c>
      <c r="D81" t="str">
        <f t="shared" si="2"/>
        <v>TO-s14-PAR</v>
      </c>
      <c r="E81" t="s">
        <v>424</v>
      </c>
      <c r="F81" t="s">
        <v>703</v>
      </c>
      <c r="G81" t="s">
        <v>704</v>
      </c>
      <c r="H81" t="s">
        <v>163</v>
      </c>
      <c r="I81" t="s">
        <v>705</v>
      </c>
    </row>
    <row r="82" spans="1:9" x14ac:dyDescent="0.25">
      <c r="A82" t="s">
        <v>969</v>
      </c>
      <c r="B82">
        <v>14</v>
      </c>
      <c r="C82" t="s">
        <v>970</v>
      </c>
      <c r="D82" t="str">
        <f t="shared" si="2"/>
        <v>TO-s14-PAR</v>
      </c>
      <c r="E82" t="s">
        <v>431</v>
      </c>
      <c r="F82" t="s">
        <v>706</v>
      </c>
      <c r="G82" t="s">
        <v>707</v>
      </c>
      <c r="H82" t="s">
        <v>422</v>
      </c>
      <c r="I82" t="s">
        <v>708</v>
      </c>
    </row>
    <row r="83" spans="1:9" x14ac:dyDescent="0.25">
      <c r="A83" t="s">
        <v>969</v>
      </c>
      <c r="B83">
        <v>14</v>
      </c>
      <c r="C83" t="s">
        <v>970</v>
      </c>
      <c r="D83" t="str">
        <f t="shared" si="2"/>
        <v>TO-s14-PAR</v>
      </c>
      <c r="E83" t="s">
        <v>432</v>
      </c>
      <c r="F83" t="s">
        <v>709</v>
      </c>
      <c r="G83" t="s">
        <v>710</v>
      </c>
      <c r="H83" t="s">
        <v>422</v>
      </c>
      <c r="I83" t="s">
        <v>711</v>
      </c>
    </row>
    <row r="84" spans="1:9" x14ac:dyDescent="0.25">
      <c r="A84" t="s">
        <v>969</v>
      </c>
      <c r="B84">
        <v>14</v>
      </c>
      <c r="C84" t="s">
        <v>970</v>
      </c>
      <c r="D84" t="str">
        <f t="shared" si="2"/>
        <v>TO-s14-PAR</v>
      </c>
      <c r="E84" t="s">
        <v>433</v>
      </c>
      <c r="F84" t="s">
        <v>712</v>
      </c>
      <c r="G84" t="s">
        <v>713</v>
      </c>
      <c r="H84" t="s">
        <v>714</v>
      </c>
      <c r="I84" t="s">
        <v>715</v>
      </c>
    </row>
    <row r="85" spans="1:9" x14ac:dyDescent="0.25">
      <c r="A85" t="s">
        <v>969</v>
      </c>
      <c r="B85">
        <v>14</v>
      </c>
      <c r="C85" t="s">
        <v>970</v>
      </c>
      <c r="D85" t="str">
        <f t="shared" si="2"/>
        <v>TO-s14-PAR</v>
      </c>
      <c r="E85" t="s">
        <v>434</v>
      </c>
      <c r="F85" t="s">
        <v>716</v>
      </c>
      <c r="G85" t="s">
        <v>717</v>
      </c>
      <c r="H85" t="s">
        <v>718</v>
      </c>
      <c r="I85" t="s">
        <v>719</v>
      </c>
    </row>
    <row r="86" spans="1:9" x14ac:dyDescent="0.25">
      <c r="A86" t="s">
        <v>969</v>
      </c>
      <c r="B86">
        <v>15</v>
      </c>
      <c r="C86" t="s">
        <v>970</v>
      </c>
      <c r="D86" t="str">
        <f>_xlfn.CONCAT("TO-s",B86,"-PAR")</f>
        <v>TO-s15-PAR</v>
      </c>
      <c r="E86" t="s">
        <v>430</v>
      </c>
      <c r="F86" t="s">
        <v>720</v>
      </c>
      <c r="G86" t="s">
        <v>454</v>
      </c>
      <c r="H86" t="s">
        <v>721</v>
      </c>
      <c r="I86" t="s">
        <v>722</v>
      </c>
    </row>
    <row r="87" spans="1:9" x14ac:dyDescent="0.25">
      <c r="A87" t="s">
        <v>969</v>
      </c>
      <c r="B87">
        <v>15</v>
      </c>
      <c r="C87" t="s">
        <v>970</v>
      </c>
      <c r="D87" t="str">
        <f t="shared" si="2"/>
        <v>TO-s15-PAR</v>
      </c>
      <c r="E87" t="s">
        <v>424</v>
      </c>
      <c r="F87" t="s">
        <v>723</v>
      </c>
      <c r="G87" t="s">
        <v>724</v>
      </c>
      <c r="H87" t="s">
        <v>681</v>
      </c>
      <c r="I87" t="s">
        <v>725</v>
      </c>
    </row>
    <row r="88" spans="1:9" x14ac:dyDescent="0.25">
      <c r="A88" t="s">
        <v>969</v>
      </c>
      <c r="B88">
        <v>15</v>
      </c>
      <c r="C88" t="s">
        <v>970</v>
      </c>
      <c r="D88" t="str">
        <f t="shared" si="2"/>
        <v>TO-s15-PAR</v>
      </c>
      <c r="E88" t="s">
        <v>431</v>
      </c>
      <c r="F88" t="s">
        <v>726</v>
      </c>
      <c r="G88" t="s">
        <v>727</v>
      </c>
      <c r="H88" t="s">
        <v>481</v>
      </c>
      <c r="I88" t="s">
        <v>728</v>
      </c>
    </row>
    <row r="89" spans="1:9" x14ac:dyDescent="0.25">
      <c r="A89" t="s">
        <v>969</v>
      </c>
      <c r="B89">
        <v>15</v>
      </c>
      <c r="C89" t="s">
        <v>970</v>
      </c>
      <c r="D89" t="str">
        <f t="shared" si="2"/>
        <v>TO-s15-PAR</v>
      </c>
      <c r="E89" t="s">
        <v>432</v>
      </c>
      <c r="F89" t="s">
        <v>729</v>
      </c>
      <c r="G89" t="s">
        <v>730</v>
      </c>
      <c r="H89" t="s">
        <v>696</v>
      </c>
      <c r="I89" t="s">
        <v>731</v>
      </c>
    </row>
    <row r="90" spans="1:9" x14ac:dyDescent="0.25">
      <c r="A90" t="s">
        <v>969</v>
      </c>
      <c r="B90">
        <v>15</v>
      </c>
      <c r="C90" t="s">
        <v>970</v>
      </c>
      <c r="D90" t="str">
        <f t="shared" si="2"/>
        <v>TO-s15-PAR</v>
      </c>
      <c r="E90" t="s">
        <v>433</v>
      </c>
      <c r="F90" t="s">
        <v>732</v>
      </c>
      <c r="G90" t="s">
        <v>733</v>
      </c>
      <c r="H90" t="s">
        <v>438</v>
      </c>
      <c r="I90" t="s">
        <v>734</v>
      </c>
    </row>
    <row r="91" spans="1:9" x14ac:dyDescent="0.25">
      <c r="A91" t="s">
        <v>969</v>
      </c>
      <c r="B91">
        <v>15</v>
      </c>
      <c r="C91" t="s">
        <v>970</v>
      </c>
      <c r="D91" t="str">
        <f t="shared" si="2"/>
        <v>TO-s15-PAR</v>
      </c>
      <c r="E91" t="s">
        <v>434</v>
      </c>
      <c r="F91" t="s">
        <v>735</v>
      </c>
      <c r="G91" t="s">
        <v>736</v>
      </c>
      <c r="H91" t="s">
        <v>470</v>
      </c>
      <c r="I91" t="s">
        <v>737</v>
      </c>
    </row>
    <row r="92" spans="1:9" x14ac:dyDescent="0.25">
      <c r="A92" t="s">
        <v>969</v>
      </c>
      <c r="B92">
        <v>16</v>
      </c>
      <c r="C92" t="s">
        <v>970</v>
      </c>
      <c r="D92" t="str">
        <f>_xlfn.CONCAT("TO-s",B92,"-PAR")</f>
        <v>TO-s16-PAR</v>
      </c>
      <c r="E92" t="s">
        <v>430</v>
      </c>
      <c r="F92" t="s">
        <v>738</v>
      </c>
      <c r="G92" t="s">
        <v>739</v>
      </c>
      <c r="H92" t="s">
        <v>681</v>
      </c>
      <c r="I92" t="s">
        <v>740</v>
      </c>
    </row>
    <row r="93" spans="1:9" x14ac:dyDescent="0.25">
      <c r="A93" t="s">
        <v>969</v>
      </c>
      <c r="B93">
        <v>16</v>
      </c>
      <c r="C93" t="s">
        <v>970</v>
      </c>
      <c r="D93" t="str">
        <f t="shared" si="2"/>
        <v>TO-s16-PAR</v>
      </c>
      <c r="E93" t="s">
        <v>424</v>
      </c>
      <c r="F93" t="s">
        <v>741</v>
      </c>
      <c r="G93" t="s">
        <v>742</v>
      </c>
      <c r="H93" t="s">
        <v>175</v>
      </c>
      <c r="I93" t="s">
        <v>743</v>
      </c>
    </row>
    <row r="94" spans="1:9" x14ac:dyDescent="0.25">
      <c r="A94" t="s">
        <v>969</v>
      </c>
      <c r="B94">
        <v>16</v>
      </c>
      <c r="C94" t="s">
        <v>970</v>
      </c>
      <c r="D94" t="str">
        <f t="shared" si="2"/>
        <v>TO-s16-PAR</v>
      </c>
      <c r="E94" t="s">
        <v>431</v>
      </c>
      <c r="F94" t="s">
        <v>744</v>
      </c>
      <c r="G94" t="s">
        <v>745</v>
      </c>
      <c r="H94" t="s">
        <v>291</v>
      </c>
      <c r="I94" t="s">
        <v>396</v>
      </c>
    </row>
    <row r="95" spans="1:9" x14ac:dyDescent="0.25">
      <c r="A95" t="s">
        <v>969</v>
      </c>
      <c r="B95">
        <v>16</v>
      </c>
      <c r="C95" t="s">
        <v>970</v>
      </c>
      <c r="D95" t="str">
        <f t="shared" si="2"/>
        <v>TO-s16-PAR</v>
      </c>
      <c r="E95" t="s">
        <v>432</v>
      </c>
      <c r="F95" t="s">
        <v>746</v>
      </c>
      <c r="G95" t="s">
        <v>747</v>
      </c>
      <c r="H95" t="s">
        <v>481</v>
      </c>
      <c r="I95" t="s">
        <v>748</v>
      </c>
    </row>
    <row r="96" spans="1:9" x14ac:dyDescent="0.25">
      <c r="A96" t="s">
        <v>969</v>
      </c>
      <c r="B96">
        <v>16</v>
      </c>
      <c r="C96" t="s">
        <v>970</v>
      </c>
      <c r="D96" t="str">
        <f t="shared" si="2"/>
        <v>TO-s16-PAR</v>
      </c>
      <c r="E96" t="s">
        <v>433</v>
      </c>
      <c r="F96" t="s">
        <v>749</v>
      </c>
      <c r="G96" t="s">
        <v>750</v>
      </c>
      <c r="H96" t="s">
        <v>512</v>
      </c>
      <c r="I96" t="s">
        <v>751</v>
      </c>
    </row>
    <row r="97" spans="1:9" x14ac:dyDescent="0.25">
      <c r="A97" t="s">
        <v>969</v>
      </c>
      <c r="B97">
        <v>16</v>
      </c>
      <c r="C97" t="s">
        <v>970</v>
      </c>
      <c r="D97" t="str">
        <f t="shared" si="2"/>
        <v>TO-s16-PAR</v>
      </c>
      <c r="E97" t="s">
        <v>434</v>
      </c>
      <c r="F97" t="s">
        <v>752</v>
      </c>
      <c r="G97" t="s">
        <v>753</v>
      </c>
      <c r="H97" t="s">
        <v>530</v>
      </c>
      <c r="I97" t="s">
        <v>398</v>
      </c>
    </row>
    <row r="98" spans="1:9" x14ac:dyDescent="0.25">
      <c r="A98" t="s">
        <v>969</v>
      </c>
      <c r="B98">
        <v>17</v>
      </c>
      <c r="C98" t="s">
        <v>970</v>
      </c>
      <c r="D98" t="str">
        <f>_xlfn.CONCAT("TO-s",B98,"-PAR")</f>
        <v>TO-s17-PAR</v>
      </c>
      <c r="E98" t="s">
        <v>430</v>
      </c>
      <c r="F98" t="s">
        <v>754</v>
      </c>
      <c r="G98" t="s">
        <v>755</v>
      </c>
      <c r="H98" t="s">
        <v>689</v>
      </c>
      <c r="I98" t="s">
        <v>756</v>
      </c>
    </row>
    <row r="99" spans="1:9" x14ac:dyDescent="0.25">
      <c r="A99" t="s">
        <v>969</v>
      </c>
      <c r="B99">
        <v>17</v>
      </c>
      <c r="C99" t="s">
        <v>970</v>
      </c>
      <c r="D99" t="str">
        <f t="shared" si="2"/>
        <v>TO-s17-PAR</v>
      </c>
      <c r="E99" t="s">
        <v>424</v>
      </c>
      <c r="F99" t="s">
        <v>757</v>
      </c>
      <c r="G99" t="s">
        <v>758</v>
      </c>
      <c r="H99" t="s">
        <v>291</v>
      </c>
      <c r="I99" t="s">
        <v>759</v>
      </c>
    </row>
    <row r="100" spans="1:9" x14ac:dyDescent="0.25">
      <c r="A100" t="s">
        <v>969</v>
      </c>
      <c r="B100">
        <v>17</v>
      </c>
      <c r="C100" t="s">
        <v>970</v>
      </c>
      <c r="D100" t="str">
        <f t="shared" si="2"/>
        <v>TO-s17-PAR</v>
      </c>
      <c r="E100" t="s">
        <v>431</v>
      </c>
      <c r="F100" t="s">
        <v>760</v>
      </c>
      <c r="G100" t="s">
        <v>761</v>
      </c>
      <c r="H100" t="s">
        <v>762</v>
      </c>
      <c r="I100" t="s">
        <v>400</v>
      </c>
    </row>
    <row r="101" spans="1:9" x14ac:dyDescent="0.25">
      <c r="A101" t="s">
        <v>969</v>
      </c>
      <c r="B101">
        <v>17</v>
      </c>
      <c r="C101" t="s">
        <v>970</v>
      </c>
      <c r="D101" t="str">
        <f t="shared" si="2"/>
        <v>TO-s17-PAR</v>
      </c>
      <c r="E101" t="s">
        <v>432</v>
      </c>
      <c r="F101" t="s">
        <v>763</v>
      </c>
      <c r="G101" t="s">
        <v>764</v>
      </c>
      <c r="H101" t="s">
        <v>474</v>
      </c>
      <c r="I101" t="s">
        <v>765</v>
      </c>
    </row>
    <row r="102" spans="1:9" x14ac:dyDescent="0.25">
      <c r="A102" t="s">
        <v>969</v>
      </c>
      <c r="B102">
        <v>17</v>
      </c>
      <c r="C102" t="s">
        <v>970</v>
      </c>
      <c r="D102" t="str">
        <f t="shared" si="2"/>
        <v>TO-s17-PAR</v>
      </c>
      <c r="E102" t="s">
        <v>433</v>
      </c>
      <c r="F102" t="s">
        <v>766</v>
      </c>
      <c r="G102" t="s">
        <v>767</v>
      </c>
      <c r="H102" t="s">
        <v>768</v>
      </c>
      <c r="I102" t="s">
        <v>769</v>
      </c>
    </row>
    <row r="103" spans="1:9" x14ac:dyDescent="0.25">
      <c r="A103" t="s">
        <v>969</v>
      </c>
      <c r="B103">
        <v>17</v>
      </c>
      <c r="C103" t="s">
        <v>970</v>
      </c>
      <c r="D103" t="str">
        <f t="shared" si="2"/>
        <v>TO-s17-PAR</v>
      </c>
      <c r="E103" t="s">
        <v>434</v>
      </c>
      <c r="F103" t="s">
        <v>770</v>
      </c>
      <c r="G103" t="s">
        <v>771</v>
      </c>
      <c r="H103" t="s">
        <v>772</v>
      </c>
      <c r="I103" t="s">
        <v>773</v>
      </c>
    </row>
    <row r="104" spans="1:9" x14ac:dyDescent="0.25">
      <c r="A104" t="s">
        <v>969</v>
      </c>
      <c r="B104">
        <v>18</v>
      </c>
      <c r="C104" t="s">
        <v>970</v>
      </c>
      <c r="D104" t="str">
        <f>_xlfn.CONCAT("TO-s",B104,"-PAR")</f>
        <v>TO-s18-PAR</v>
      </c>
      <c r="E104" t="s">
        <v>430</v>
      </c>
      <c r="F104" t="s">
        <v>774</v>
      </c>
      <c r="G104" t="s">
        <v>775</v>
      </c>
      <c r="H104" t="s">
        <v>537</v>
      </c>
      <c r="I104" t="s">
        <v>401</v>
      </c>
    </row>
    <row r="105" spans="1:9" x14ac:dyDescent="0.25">
      <c r="A105" t="s">
        <v>969</v>
      </c>
      <c r="B105">
        <v>18</v>
      </c>
      <c r="C105" t="s">
        <v>970</v>
      </c>
      <c r="D105" t="str">
        <f t="shared" si="2"/>
        <v>TO-s18-PAR</v>
      </c>
      <c r="E105" t="s">
        <v>424</v>
      </c>
      <c r="F105" t="s">
        <v>776</v>
      </c>
      <c r="G105" t="s">
        <v>777</v>
      </c>
      <c r="H105" t="s">
        <v>778</v>
      </c>
      <c r="I105" t="s">
        <v>779</v>
      </c>
    </row>
    <row r="106" spans="1:9" x14ac:dyDescent="0.25">
      <c r="A106" t="s">
        <v>969</v>
      </c>
      <c r="B106">
        <v>18</v>
      </c>
      <c r="C106" t="s">
        <v>970</v>
      </c>
      <c r="D106" t="str">
        <f t="shared" si="2"/>
        <v>TO-s18-PAR</v>
      </c>
      <c r="E106" t="s">
        <v>431</v>
      </c>
      <c r="F106" t="s">
        <v>780</v>
      </c>
      <c r="G106" t="s">
        <v>781</v>
      </c>
      <c r="H106" t="s">
        <v>446</v>
      </c>
      <c r="I106" t="s">
        <v>419</v>
      </c>
    </row>
    <row r="107" spans="1:9" x14ac:dyDescent="0.25">
      <c r="A107" t="s">
        <v>969</v>
      </c>
      <c r="B107">
        <v>18</v>
      </c>
      <c r="C107" t="s">
        <v>970</v>
      </c>
      <c r="D107" t="str">
        <f t="shared" si="2"/>
        <v>TO-s18-PAR</v>
      </c>
      <c r="E107" t="s">
        <v>432</v>
      </c>
      <c r="F107" t="s">
        <v>782</v>
      </c>
      <c r="G107" t="s">
        <v>783</v>
      </c>
      <c r="H107" t="s">
        <v>784</v>
      </c>
      <c r="I107" t="s">
        <v>785</v>
      </c>
    </row>
    <row r="108" spans="1:9" x14ac:dyDescent="0.25">
      <c r="A108" t="s">
        <v>969</v>
      </c>
      <c r="B108">
        <v>18</v>
      </c>
      <c r="C108" t="s">
        <v>970</v>
      </c>
      <c r="D108" t="str">
        <f t="shared" si="2"/>
        <v>TO-s18-PAR</v>
      </c>
      <c r="E108" t="s">
        <v>433</v>
      </c>
      <c r="F108" t="s">
        <v>786</v>
      </c>
      <c r="G108" t="s">
        <v>787</v>
      </c>
      <c r="H108" t="s">
        <v>772</v>
      </c>
      <c r="I108" t="s">
        <v>788</v>
      </c>
    </row>
    <row r="109" spans="1:9" x14ac:dyDescent="0.25">
      <c r="A109" t="s">
        <v>969</v>
      </c>
      <c r="B109">
        <v>18</v>
      </c>
      <c r="C109" t="s">
        <v>970</v>
      </c>
      <c r="D109" t="str">
        <f t="shared" si="2"/>
        <v>TO-s18-PAR</v>
      </c>
      <c r="E109" t="s">
        <v>434</v>
      </c>
      <c r="F109" t="s">
        <v>789</v>
      </c>
      <c r="G109" t="s">
        <v>790</v>
      </c>
      <c r="H109" t="s">
        <v>466</v>
      </c>
      <c r="I109" t="s">
        <v>791</v>
      </c>
    </row>
    <row r="110" spans="1:9" x14ac:dyDescent="0.25">
      <c r="A110" t="s">
        <v>969</v>
      </c>
      <c r="B110">
        <v>19</v>
      </c>
      <c r="C110" t="s">
        <v>970</v>
      </c>
      <c r="D110" t="str">
        <f>_xlfn.CONCAT("TO-s",B110,"-PAR")</f>
        <v>TO-s19-PAR</v>
      </c>
      <c r="E110" t="s">
        <v>430</v>
      </c>
      <c r="F110" t="s">
        <v>792</v>
      </c>
      <c r="G110" t="s">
        <v>793</v>
      </c>
      <c r="H110" t="s">
        <v>794</v>
      </c>
      <c r="I110" t="s">
        <v>795</v>
      </c>
    </row>
    <row r="111" spans="1:9" x14ac:dyDescent="0.25">
      <c r="A111" t="s">
        <v>969</v>
      </c>
      <c r="B111">
        <v>19</v>
      </c>
      <c r="C111" t="s">
        <v>970</v>
      </c>
      <c r="D111" t="str">
        <f t="shared" si="2"/>
        <v>TO-s19-PAR</v>
      </c>
      <c r="E111" t="s">
        <v>424</v>
      </c>
      <c r="F111" t="s">
        <v>796</v>
      </c>
      <c r="G111" t="s">
        <v>797</v>
      </c>
      <c r="H111" t="s">
        <v>798</v>
      </c>
      <c r="I111" t="s">
        <v>799</v>
      </c>
    </row>
    <row r="112" spans="1:9" x14ac:dyDescent="0.25">
      <c r="A112" t="s">
        <v>969</v>
      </c>
      <c r="B112">
        <v>19</v>
      </c>
      <c r="C112" t="s">
        <v>970</v>
      </c>
      <c r="D112" t="str">
        <f t="shared" si="2"/>
        <v>TO-s19-PAR</v>
      </c>
      <c r="E112" t="s">
        <v>431</v>
      </c>
      <c r="F112" t="s">
        <v>800</v>
      </c>
      <c r="G112" t="s">
        <v>801</v>
      </c>
      <c r="H112" t="s">
        <v>470</v>
      </c>
      <c r="I112" t="s">
        <v>405</v>
      </c>
    </row>
    <row r="113" spans="1:9" x14ac:dyDescent="0.25">
      <c r="A113" t="s">
        <v>969</v>
      </c>
      <c r="B113">
        <v>19</v>
      </c>
      <c r="C113" t="s">
        <v>970</v>
      </c>
      <c r="D113" t="str">
        <f t="shared" si="2"/>
        <v>TO-s19-PAR</v>
      </c>
      <c r="E113" t="s">
        <v>432</v>
      </c>
      <c r="F113" t="s">
        <v>802</v>
      </c>
      <c r="G113" t="s">
        <v>803</v>
      </c>
      <c r="H113" t="s">
        <v>804</v>
      </c>
      <c r="I113" t="s">
        <v>805</v>
      </c>
    </row>
    <row r="114" spans="1:9" x14ac:dyDescent="0.25">
      <c r="A114" t="s">
        <v>969</v>
      </c>
      <c r="B114">
        <v>19</v>
      </c>
      <c r="C114" t="s">
        <v>970</v>
      </c>
      <c r="D114" t="str">
        <f t="shared" si="2"/>
        <v>TO-s19-PAR</v>
      </c>
      <c r="E114" t="s">
        <v>433</v>
      </c>
      <c r="F114" t="s">
        <v>806</v>
      </c>
      <c r="G114" t="s">
        <v>807</v>
      </c>
      <c r="H114" t="s">
        <v>427</v>
      </c>
      <c r="I114" t="s">
        <v>808</v>
      </c>
    </row>
    <row r="115" spans="1:9" x14ac:dyDescent="0.25">
      <c r="A115" t="s">
        <v>969</v>
      </c>
      <c r="B115">
        <v>19</v>
      </c>
      <c r="C115" t="s">
        <v>970</v>
      </c>
      <c r="D115" t="str">
        <f t="shared" ref="D115" si="3">_xlfn.CONCAT("TO-s",B115,"-PAR")</f>
        <v>TO-s19-PAR</v>
      </c>
      <c r="E115" t="s">
        <v>434</v>
      </c>
      <c r="F115" t="s">
        <v>809</v>
      </c>
      <c r="G115" t="s">
        <v>783</v>
      </c>
      <c r="H115" t="s">
        <v>481</v>
      </c>
      <c r="I115" t="s">
        <v>810</v>
      </c>
    </row>
    <row r="116" spans="1:9" x14ac:dyDescent="0.25">
      <c r="A116" t="s">
        <v>969</v>
      </c>
      <c r="B116">
        <v>20</v>
      </c>
      <c r="C116" t="s">
        <v>970</v>
      </c>
      <c r="D116" t="str">
        <f>_xlfn.CONCAT("TO-s",B116,"-PAR")</f>
        <v>TO-s20-PAR</v>
      </c>
      <c r="E116" t="s">
        <v>430</v>
      </c>
      <c r="F116" t="s">
        <v>811</v>
      </c>
      <c r="G116" t="s">
        <v>755</v>
      </c>
      <c r="H116" t="s">
        <v>618</v>
      </c>
      <c r="I116" t="s">
        <v>812</v>
      </c>
    </row>
    <row r="117" spans="1:9" x14ac:dyDescent="0.25">
      <c r="A117" t="s">
        <v>969</v>
      </c>
      <c r="B117">
        <v>20</v>
      </c>
      <c r="C117" t="s">
        <v>970</v>
      </c>
      <c r="D117" t="str">
        <f t="shared" ref="D117:D120" si="4">_xlfn.CONCAT("TO-s",B117,"-PAR")</f>
        <v>TO-s20-PAR</v>
      </c>
      <c r="E117" t="s">
        <v>424</v>
      </c>
      <c r="F117" t="s">
        <v>813</v>
      </c>
      <c r="G117" t="s">
        <v>814</v>
      </c>
      <c r="H117" t="s">
        <v>580</v>
      </c>
      <c r="I117" t="s">
        <v>815</v>
      </c>
    </row>
    <row r="118" spans="1:9" x14ac:dyDescent="0.25">
      <c r="A118" t="s">
        <v>969</v>
      </c>
      <c r="B118">
        <v>20</v>
      </c>
      <c r="C118" t="s">
        <v>970</v>
      </c>
      <c r="D118" t="str">
        <f t="shared" si="4"/>
        <v>TO-s20-PAR</v>
      </c>
      <c r="E118" t="s">
        <v>431</v>
      </c>
      <c r="F118" t="s">
        <v>816</v>
      </c>
      <c r="G118" t="s">
        <v>111</v>
      </c>
      <c r="H118" t="s">
        <v>455</v>
      </c>
      <c r="I118" t="s">
        <v>407</v>
      </c>
    </row>
    <row r="119" spans="1:9" x14ac:dyDescent="0.25">
      <c r="A119" t="s">
        <v>969</v>
      </c>
      <c r="B119">
        <v>20</v>
      </c>
      <c r="C119" t="s">
        <v>970</v>
      </c>
      <c r="D119" t="str">
        <f t="shared" si="4"/>
        <v>TO-s20-PAR</v>
      </c>
      <c r="E119" t="s">
        <v>432</v>
      </c>
      <c r="F119" t="s">
        <v>817</v>
      </c>
      <c r="G119" t="s">
        <v>783</v>
      </c>
      <c r="H119" t="s">
        <v>681</v>
      </c>
      <c r="I119" t="s">
        <v>410</v>
      </c>
    </row>
    <row r="120" spans="1:9" x14ac:dyDescent="0.25">
      <c r="A120" t="s">
        <v>969</v>
      </c>
      <c r="B120">
        <v>20</v>
      </c>
      <c r="C120" t="s">
        <v>970</v>
      </c>
      <c r="D120" t="str">
        <f t="shared" si="4"/>
        <v>TO-s20-PAR</v>
      </c>
      <c r="E120" t="s">
        <v>433</v>
      </c>
      <c r="F120" t="s">
        <v>818</v>
      </c>
      <c r="G120" t="s">
        <v>819</v>
      </c>
      <c r="H120" t="s">
        <v>823</v>
      </c>
      <c r="I120" t="s">
        <v>413</v>
      </c>
    </row>
    <row r="121" spans="1:9" x14ac:dyDescent="0.25">
      <c r="A121" t="s">
        <v>969</v>
      </c>
      <c r="B121">
        <v>20</v>
      </c>
      <c r="C121" t="s">
        <v>970</v>
      </c>
      <c r="D121" t="str">
        <f t="shared" ref="D121:D390" si="5">_xlfn.CONCAT(A121,"-s",B121,"-",C121)</f>
        <v>TO-s20-PAR</v>
      </c>
      <c r="E121" t="s">
        <v>434</v>
      </c>
      <c r="F121" t="s">
        <v>820</v>
      </c>
      <c r="G121" t="s">
        <v>821</v>
      </c>
      <c r="H121" t="s">
        <v>822</v>
      </c>
      <c r="I121" t="s">
        <v>414</v>
      </c>
    </row>
    <row r="122" spans="1:9" x14ac:dyDescent="0.25">
      <c r="A122" t="s">
        <v>969</v>
      </c>
      <c r="B122">
        <v>21</v>
      </c>
      <c r="C122" t="s">
        <v>970</v>
      </c>
      <c r="D122" t="str">
        <f t="shared" si="5"/>
        <v>TO-s21-PAR</v>
      </c>
      <c r="E122" t="s">
        <v>430</v>
      </c>
      <c r="F122" t="s">
        <v>971</v>
      </c>
      <c r="G122" t="s">
        <v>972</v>
      </c>
      <c r="H122" t="s">
        <v>438</v>
      </c>
      <c r="I122" t="s">
        <v>829</v>
      </c>
    </row>
    <row r="123" spans="1:9" x14ac:dyDescent="0.25">
      <c r="A123" t="s">
        <v>969</v>
      </c>
      <c r="B123">
        <v>21</v>
      </c>
      <c r="C123" t="s">
        <v>970</v>
      </c>
      <c r="D123" t="str">
        <f t="shared" si="5"/>
        <v>TO-s21-PAR</v>
      </c>
      <c r="E123" t="s">
        <v>424</v>
      </c>
      <c r="F123" t="s">
        <v>973</v>
      </c>
      <c r="G123" t="s">
        <v>974</v>
      </c>
      <c r="H123" t="s">
        <v>455</v>
      </c>
      <c r="I123" t="s">
        <v>832</v>
      </c>
    </row>
    <row r="124" spans="1:9" x14ac:dyDescent="0.25">
      <c r="A124" t="s">
        <v>969</v>
      </c>
      <c r="B124">
        <v>21</v>
      </c>
      <c r="C124" t="s">
        <v>970</v>
      </c>
      <c r="D124" t="str">
        <f t="shared" si="5"/>
        <v>TO-s21-PAR</v>
      </c>
      <c r="E124" t="s">
        <v>431</v>
      </c>
      <c r="F124" t="s">
        <v>975</v>
      </c>
      <c r="G124" t="s">
        <v>976</v>
      </c>
      <c r="H124" t="s">
        <v>835</v>
      </c>
      <c r="I124" t="s">
        <v>836</v>
      </c>
    </row>
    <row r="125" spans="1:9" x14ac:dyDescent="0.25">
      <c r="A125" t="s">
        <v>969</v>
      </c>
      <c r="B125">
        <v>21</v>
      </c>
      <c r="C125" t="s">
        <v>970</v>
      </c>
      <c r="D125" t="str">
        <f t="shared" si="5"/>
        <v>TO-s21-PAR</v>
      </c>
      <c r="E125" t="s">
        <v>432</v>
      </c>
      <c r="F125" t="s">
        <v>977</v>
      </c>
      <c r="G125" t="s">
        <v>978</v>
      </c>
      <c r="H125" t="s">
        <v>839</v>
      </c>
      <c r="I125" t="s">
        <v>840</v>
      </c>
    </row>
    <row r="126" spans="1:9" x14ac:dyDescent="0.25">
      <c r="A126" t="s">
        <v>969</v>
      </c>
      <c r="B126">
        <v>21</v>
      </c>
      <c r="C126" t="s">
        <v>970</v>
      </c>
      <c r="D126" t="str">
        <f t="shared" si="5"/>
        <v>TO-s21-PAR</v>
      </c>
      <c r="E126" t="s">
        <v>433</v>
      </c>
      <c r="F126" t="s">
        <v>981</v>
      </c>
      <c r="G126" t="s">
        <v>979</v>
      </c>
      <c r="H126" t="s">
        <v>842</v>
      </c>
      <c r="I126" t="s">
        <v>415</v>
      </c>
    </row>
    <row r="127" spans="1:9" x14ac:dyDescent="0.25">
      <c r="A127" t="s">
        <v>969</v>
      </c>
      <c r="B127">
        <v>21</v>
      </c>
      <c r="C127" t="s">
        <v>970</v>
      </c>
      <c r="D127" t="str">
        <f t="shared" si="5"/>
        <v>TO-s21-PAR</v>
      </c>
      <c r="E127" t="s">
        <v>434</v>
      </c>
      <c r="F127" t="s">
        <v>980</v>
      </c>
      <c r="G127" t="s">
        <v>982</v>
      </c>
      <c r="H127" t="s">
        <v>133</v>
      </c>
      <c r="I127" t="s">
        <v>416</v>
      </c>
    </row>
    <row r="128" spans="1:9" x14ac:dyDescent="0.25">
      <c r="A128" t="s">
        <v>969</v>
      </c>
      <c r="B128">
        <v>22</v>
      </c>
      <c r="C128" t="s">
        <v>970</v>
      </c>
      <c r="D128" t="str">
        <f t="shared" si="5"/>
        <v>TO-s22-PAR</v>
      </c>
      <c r="E128" t="s">
        <v>430</v>
      </c>
      <c r="F128" t="s">
        <v>983</v>
      </c>
      <c r="G128" t="s">
        <v>984</v>
      </c>
      <c r="H128" t="s">
        <v>22</v>
      </c>
      <c r="I128" t="s">
        <v>848</v>
      </c>
    </row>
    <row r="129" spans="1:9" x14ac:dyDescent="0.25">
      <c r="A129" t="s">
        <v>969</v>
      </c>
      <c r="B129">
        <v>22</v>
      </c>
      <c r="C129" t="s">
        <v>970</v>
      </c>
      <c r="D129" t="str">
        <f t="shared" si="5"/>
        <v>TO-s22-PAR</v>
      </c>
      <c r="E129" t="s">
        <v>424</v>
      </c>
      <c r="F129" t="s">
        <v>985</v>
      </c>
      <c r="G129" t="s">
        <v>986</v>
      </c>
      <c r="H129" t="s">
        <v>987</v>
      </c>
      <c r="I129" t="s">
        <v>852</v>
      </c>
    </row>
    <row r="130" spans="1:9" x14ac:dyDescent="0.25">
      <c r="A130" t="s">
        <v>969</v>
      </c>
      <c r="B130">
        <v>22</v>
      </c>
      <c r="C130" t="s">
        <v>970</v>
      </c>
      <c r="D130" t="str">
        <f t="shared" si="5"/>
        <v>TO-s22-PAR</v>
      </c>
      <c r="E130" t="s">
        <v>431</v>
      </c>
      <c r="F130" t="s">
        <v>988</v>
      </c>
      <c r="G130" t="s">
        <v>989</v>
      </c>
      <c r="H130" t="s">
        <v>22</v>
      </c>
      <c r="I130" t="s">
        <v>855</v>
      </c>
    </row>
    <row r="131" spans="1:9" x14ac:dyDescent="0.25">
      <c r="A131" t="s">
        <v>969</v>
      </c>
      <c r="B131">
        <v>22</v>
      </c>
      <c r="C131" t="s">
        <v>970</v>
      </c>
      <c r="D131" t="str">
        <f t="shared" si="5"/>
        <v>TO-s22-PAR</v>
      </c>
      <c r="E131" t="s">
        <v>432</v>
      </c>
      <c r="F131" t="s">
        <v>990</v>
      </c>
      <c r="G131" t="s">
        <v>26</v>
      </c>
      <c r="H131" t="s">
        <v>858</v>
      </c>
      <c r="I131" t="s">
        <v>859</v>
      </c>
    </row>
    <row r="132" spans="1:9" x14ac:dyDescent="0.25">
      <c r="A132" t="s">
        <v>969</v>
      </c>
      <c r="B132">
        <v>22</v>
      </c>
      <c r="C132" t="s">
        <v>970</v>
      </c>
      <c r="D132" t="str">
        <f t="shared" si="5"/>
        <v>TO-s22-PAR</v>
      </c>
      <c r="E132" t="s">
        <v>433</v>
      </c>
      <c r="F132" t="s">
        <v>991</v>
      </c>
      <c r="G132" t="s">
        <v>992</v>
      </c>
      <c r="H132" t="s">
        <v>861</v>
      </c>
      <c r="I132" t="s">
        <v>862</v>
      </c>
    </row>
    <row r="133" spans="1:9" x14ac:dyDescent="0.25">
      <c r="A133" t="s">
        <v>969</v>
      </c>
      <c r="B133">
        <v>22</v>
      </c>
      <c r="C133" t="s">
        <v>970</v>
      </c>
      <c r="D133" t="str">
        <f t="shared" si="5"/>
        <v>TO-s22-PAR</v>
      </c>
      <c r="E133" t="s">
        <v>434</v>
      </c>
      <c r="F133" t="s">
        <v>993</v>
      </c>
      <c r="G133" t="s">
        <v>994</v>
      </c>
      <c r="H133" t="s">
        <v>169</v>
      </c>
      <c r="I133" t="s">
        <v>865</v>
      </c>
    </row>
    <row r="134" spans="1:9" x14ac:dyDescent="0.25">
      <c r="A134" t="s">
        <v>969</v>
      </c>
      <c r="B134">
        <v>23</v>
      </c>
      <c r="C134" t="s">
        <v>970</v>
      </c>
      <c r="D134" t="str">
        <f t="shared" si="5"/>
        <v>TO-s23-PAR</v>
      </c>
      <c r="E134" t="s">
        <v>430</v>
      </c>
      <c r="F134" t="s">
        <v>995</v>
      </c>
      <c r="G134" t="s">
        <v>996</v>
      </c>
      <c r="H134" t="s">
        <v>438</v>
      </c>
      <c r="I134" t="s">
        <v>868</v>
      </c>
    </row>
    <row r="135" spans="1:9" x14ac:dyDescent="0.25">
      <c r="A135" t="s">
        <v>969</v>
      </c>
      <c r="B135">
        <v>23</v>
      </c>
      <c r="C135" t="s">
        <v>970</v>
      </c>
      <c r="D135" t="str">
        <f t="shared" si="5"/>
        <v>TO-s23-PAR</v>
      </c>
      <c r="E135" t="s">
        <v>424</v>
      </c>
      <c r="F135" t="s">
        <v>997</v>
      </c>
      <c r="G135" t="s">
        <v>827</v>
      </c>
      <c r="H135" t="s">
        <v>594</v>
      </c>
      <c r="I135" t="s">
        <v>871</v>
      </c>
    </row>
    <row r="136" spans="1:9" x14ac:dyDescent="0.25">
      <c r="A136" t="s">
        <v>969</v>
      </c>
      <c r="B136">
        <v>23</v>
      </c>
      <c r="C136" t="s">
        <v>970</v>
      </c>
      <c r="D136" t="str">
        <f t="shared" si="5"/>
        <v>TO-s23-PAR</v>
      </c>
      <c r="E136" t="s">
        <v>431</v>
      </c>
      <c r="F136" t="s">
        <v>998</v>
      </c>
      <c r="G136" t="s">
        <v>999</v>
      </c>
      <c r="H136" t="s">
        <v>874</v>
      </c>
      <c r="I136" t="s">
        <v>876</v>
      </c>
    </row>
    <row r="137" spans="1:9" x14ac:dyDescent="0.25">
      <c r="A137" t="s">
        <v>969</v>
      </c>
      <c r="B137">
        <v>23</v>
      </c>
      <c r="C137" t="s">
        <v>970</v>
      </c>
      <c r="D137" t="str">
        <f t="shared" si="5"/>
        <v>TO-s23-PAR</v>
      </c>
      <c r="E137" t="s">
        <v>432</v>
      </c>
      <c r="F137" t="s">
        <v>1000</v>
      </c>
      <c r="G137" t="s">
        <v>1001</v>
      </c>
      <c r="H137" t="s">
        <v>879</v>
      </c>
      <c r="I137" t="s">
        <v>880</v>
      </c>
    </row>
    <row r="138" spans="1:9" x14ac:dyDescent="0.25">
      <c r="A138" t="s">
        <v>969</v>
      </c>
      <c r="B138">
        <v>23</v>
      </c>
      <c r="C138" t="s">
        <v>970</v>
      </c>
      <c r="D138" t="str">
        <f t="shared" si="5"/>
        <v>TO-s23-PAR</v>
      </c>
      <c r="E138" t="s">
        <v>433</v>
      </c>
      <c r="F138" t="s">
        <v>1002</v>
      </c>
      <c r="G138" t="s">
        <v>1003</v>
      </c>
      <c r="H138" t="s">
        <v>883</v>
      </c>
      <c r="I138" t="s">
        <v>884</v>
      </c>
    </row>
    <row r="139" spans="1:9" x14ac:dyDescent="0.25">
      <c r="A139" t="s">
        <v>969</v>
      </c>
      <c r="B139">
        <v>23</v>
      </c>
      <c r="C139" t="s">
        <v>970</v>
      </c>
      <c r="D139" t="str">
        <f t="shared" si="5"/>
        <v>TO-s23-PAR</v>
      </c>
      <c r="E139" t="s">
        <v>434</v>
      </c>
      <c r="F139" t="s">
        <v>1004</v>
      </c>
      <c r="G139" t="s">
        <v>1005</v>
      </c>
      <c r="H139" t="s">
        <v>175</v>
      </c>
      <c r="I139" t="s">
        <v>887</v>
      </c>
    </row>
    <row r="140" spans="1:9" x14ac:dyDescent="0.25">
      <c r="A140" t="s">
        <v>969</v>
      </c>
      <c r="B140">
        <v>24</v>
      </c>
      <c r="C140" t="s">
        <v>970</v>
      </c>
      <c r="D140" t="str">
        <f t="shared" si="5"/>
        <v>TO-s24-PAR</v>
      </c>
      <c r="E140" t="s">
        <v>430</v>
      </c>
      <c r="F140" t="s">
        <v>1006</v>
      </c>
      <c r="G140" t="s">
        <v>1007</v>
      </c>
      <c r="H140" t="s">
        <v>495</v>
      </c>
      <c r="I140" t="s">
        <v>890</v>
      </c>
    </row>
    <row r="141" spans="1:9" x14ac:dyDescent="0.25">
      <c r="A141" t="s">
        <v>969</v>
      </c>
      <c r="B141">
        <v>24</v>
      </c>
      <c r="C141" t="s">
        <v>970</v>
      </c>
      <c r="D141" t="str">
        <f t="shared" si="5"/>
        <v>TO-s24-PAR</v>
      </c>
      <c r="E141" t="s">
        <v>424</v>
      </c>
      <c r="F141" t="s">
        <v>1008</v>
      </c>
      <c r="G141" t="s">
        <v>589</v>
      </c>
      <c r="H141" t="s">
        <v>446</v>
      </c>
      <c r="I141" t="s">
        <v>893</v>
      </c>
    </row>
    <row r="142" spans="1:9" x14ac:dyDescent="0.25">
      <c r="A142" t="s">
        <v>969</v>
      </c>
      <c r="B142">
        <v>24</v>
      </c>
      <c r="C142" t="s">
        <v>970</v>
      </c>
      <c r="D142" t="str">
        <f t="shared" si="5"/>
        <v>TO-s24-PAR</v>
      </c>
      <c r="E142" t="s">
        <v>431</v>
      </c>
      <c r="F142" t="s">
        <v>1009</v>
      </c>
      <c r="G142" t="s">
        <v>1010</v>
      </c>
      <c r="H142" t="s">
        <v>550</v>
      </c>
      <c r="I142" t="s">
        <v>897</v>
      </c>
    </row>
    <row r="143" spans="1:9" x14ac:dyDescent="0.25">
      <c r="A143" t="s">
        <v>969</v>
      </c>
      <c r="B143">
        <v>24</v>
      </c>
      <c r="C143" t="s">
        <v>970</v>
      </c>
      <c r="D143" t="str">
        <f t="shared" si="5"/>
        <v>TO-s24-PAR</v>
      </c>
      <c r="E143" t="s">
        <v>432</v>
      </c>
      <c r="F143" t="s">
        <v>1011</v>
      </c>
      <c r="G143" t="s">
        <v>1012</v>
      </c>
      <c r="H143" t="s">
        <v>696</v>
      </c>
      <c r="I143" t="s">
        <v>900</v>
      </c>
    </row>
    <row r="144" spans="1:9" x14ac:dyDescent="0.25">
      <c r="A144" t="s">
        <v>969</v>
      </c>
      <c r="B144">
        <v>24</v>
      </c>
      <c r="C144" t="s">
        <v>970</v>
      </c>
      <c r="D144" t="str">
        <f t="shared" si="5"/>
        <v>TO-s24-PAR</v>
      </c>
      <c r="E144" t="s">
        <v>433</v>
      </c>
      <c r="F144" t="s">
        <v>1013</v>
      </c>
      <c r="G144" t="s">
        <v>1014</v>
      </c>
      <c r="H144" t="s">
        <v>481</v>
      </c>
      <c r="I144" t="s">
        <v>903</v>
      </c>
    </row>
    <row r="145" spans="1:9" x14ac:dyDescent="0.25">
      <c r="A145" t="s">
        <v>969</v>
      </c>
      <c r="B145">
        <v>24</v>
      </c>
      <c r="C145" t="s">
        <v>970</v>
      </c>
      <c r="D145" t="str">
        <f t="shared" si="5"/>
        <v>TO-s24-PAR</v>
      </c>
      <c r="E145" t="s">
        <v>434</v>
      </c>
      <c r="F145" t="s">
        <v>1015</v>
      </c>
      <c r="G145" t="s">
        <v>1016</v>
      </c>
      <c r="H145" t="s">
        <v>512</v>
      </c>
      <c r="I145" t="s">
        <v>905</v>
      </c>
    </row>
    <row r="146" spans="1:9" x14ac:dyDescent="0.25">
      <c r="A146" t="s">
        <v>969</v>
      </c>
      <c r="B146">
        <v>25</v>
      </c>
      <c r="C146" t="s">
        <v>970</v>
      </c>
      <c r="D146" t="str">
        <f t="shared" si="5"/>
        <v>TO-s25-PAR</v>
      </c>
      <c r="E146" t="s">
        <v>430</v>
      </c>
      <c r="F146" t="s">
        <v>1017</v>
      </c>
      <c r="G146" t="s">
        <v>1018</v>
      </c>
      <c r="H146" t="s">
        <v>626</v>
      </c>
      <c r="I146" t="s">
        <v>909</v>
      </c>
    </row>
    <row r="147" spans="1:9" x14ac:dyDescent="0.25">
      <c r="A147" t="s">
        <v>969</v>
      </c>
      <c r="B147">
        <v>25</v>
      </c>
      <c r="C147" t="s">
        <v>970</v>
      </c>
      <c r="D147" t="str">
        <f t="shared" si="5"/>
        <v>TO-s25-PAR</v>
      </c>
      <c r="E147" t="s">
        <v>424</v>
      </c>
      <c r="F147" t="s">
        <v>1019</v>
      </c>
      <c r="G147" t="s">
        <v>1020</v>
      </c>
      <c r="H147" t="s">
        <v>950</v>
      </c>
      <c r="I147" t="s">
        <v>913</v>
      </c>
    </row>
    <row r="148" spans="1:9" x14ac:dyDescent="0.25">
      <c r="A148" t="s">
        <v>969</v>
      </c>
      <c r="B148">
        <v>25</v>
      </c>
      <c r="C148" t="s">
        <v>970</v>
      </c>
      <c r="D148" t="str">
        <f t="shared" si="5"/>
        <v>TO-s25-PAR</v>
      </c>
      <c r="E148" t="s">
        <v>431</v>
      </c>
      <c r="F148" t="s">
        <v>1021</v>
      </c>
      <c r="G148" t="s">
        <v>1022</v>
      </c>
      <c r="H148" t="s">
        <v>422</v>
      </c>
      <c r="I148" t="s">
        <v>916</v>
      </c>
    </row>
    <row r="149" spans="1:9" x14ac:dyDescent="0.25">
      <c r="A149" t="s">
        <v>969</v>
      </c>
      <c r="B149">
        <v>25</v>
      </c>
      <c r="C149" t="s">
        <v>970</v>
      </c>
      <c r="D149" t="str">
        <f t="shared" si="5"/>
        <v>TO-s25-PAR</v>
      </c>
      <c r="E149" t="s">
        <v>432</v>
      </c>
      <c r="F149" t="s">
        <v>1023</v>
      </c>
      <c r="G149" t="s">
        <v>1024</v>
      </c>
      <c r="H149" t="s">
        <v>169</v>
      </c>
      <c r="I149" t="s">
        <v>919</v>
      </c>
    </row>
    <row r="150" spans="1:9" x14ac:dyDescent="0.25">
      <c r="A150" t="s">
        <v>969</v>
      </c>
      <c r="B150">
        <v>25</v>
      </c>
      <c r="C150" t="s">
        <v>970</v>
      </c>
      <c r="D150" t="str">
        <f t="shared" si="5"/>
        <v>TO-s25-PAR</v>
      </c>
      <c r="E150" t="s">
        <v>433</v>
      </c>
      <c r="F150" t="s">
        <v>1025</v>
      </c>
      <c r="G150" t="s">
        <v>1026</v>
      </c>
      <c r="H150" t="s">
        <v>586</v>
      </c>
      <c r="I150" t="s">
        <v>922</v>
      </c>
    </row>
    <row r="151" spans="1:9" x14ac:dyDescent="0.25">
      <c r="A151" t="s">
        <v>969</v>
      </c>
      <c r="B151">
        <v>25</v>
      </c>
      <c r="C151" t="s">
        <v>970</v>
      </c>
      <c r="D151" t="str">
        <f t="shared" si="5"/>
        <v>TO-s25-PAR</v>
      </c>
      <c r="E151" t="s">
        <v>434</v>
      </c>
      <c r="F151" t="s">
        <v>1027</v>
      </c>
      <c r="G151" t="s">
        <v>1024</v>
      </c>
      <c r="H151" t="s">
        <v>466</v>
      </c>
      <c r="I151" t="s">
        <v>925</v>
      </c>
    </row>
    <row r="152" spans="1:9" x14ac:dyDescent="0.25">
      <c r="A152" t="s">
        <v>969</v>
      </c>
      <c r="B152">
        <v>26</v>
      </c>
      <c r="C152" t="s">
        <v>970</v>
      </c>
      <c r="D152" t="str">
        <f t="shared" si="5"/>
        <v>TO-s26-PAR</v>
      </c>
      <c r="E152" t="s">
        <v>430</v>
      </c>
      <c r="F152" t="s">
        <v>1028</v>
      </c>
      <c r="G152" t="s">
        <v>1029</v>
      </c>
      <c r="H152" t="s">
        <v>586</v>
      </c>
      <c r="I152" t="s">
        <v>929</v>
      </c>
    </row>
    <row r="153" spans="1:9" x14ac:dyDescent="0.25">
      <c r="A153" t="s">
        <v>969</v>
      </c>
      <c r="B153">
        <v>26</v>
      </c>
      <c r="C153" t="s">
        <v>970</v>
      </c>
      <c r="D153" t="str">
        <f t="shared" si="5"/>
        <v>TO-s26-PAR</v>
      </c>
      <c r="E153" t="s">
        <v>424</v>
      </c>
      <c r="F153" t="s">
        <v>1030</v>
      </c>
      <c r="G153" t="s">
        <v>1031</v>
      </c>
      <c r="H153" t="s">
        <v>586</v>
      </c>
      <c r="I153" t="s">
        <v>932</v>
      </c>
    </row>
    <row r="154" spans="1:9" x14ac:dyDescent="0.25">
      <c r="A154" t="s">
        <v>969</v>
      </c>
      <c r="B154">
        <v>26</v>
      </c>
      <c r="C154" t="s">
        <v>970</v>
      </c>
      <c r="D154" t="str">
        <f t="shared" si="5"/>
        <v>TO-s26-PAR</v>
      </c>
      <c r="E154" t="s">
        <v>431</v>
      </c>
      <c r="F154" t="s">
        <v>1032</v>
      </c>
      <c r="G154" t="s">
        <v>1033</v>
      </c>
      <c r="H154" t="s">
        <v>934</v>
      </c>
      <c r="I154" t="s">
        <v>935</v>
      </c>
    </row>
    <row r="155" spans="1:9" x14ac:dyDescent="0.25">
      <c r="A155" t="s">
        <v>969</v>
      </c>
      <c r="B155">
        <v>26</v>
      </c>
      <c r="C155" t="s">
        <v>970</v>
      </c>
      <c r="D155" t="str">
        <f t="shared" si="5"/>
        <v>TO-s26-PAR</v>
      </c>
      <c r="E155" t="s">
        <v>432</v>
      </c>
      <c r="F155" t="s">
        <v>1034</v>
      </c>
      <c r="G155" t="s">
        <v>1035</v>
      </c>
      <c r="H155" t="s">
        <v>422</v>
      </c>
      <c r="I155" t="s">
        <v>937</v>
      </c>
    </row>
    <row r="156" spans="1:9" x14ac:dyDescent="0.25">
      <c r="A156" t="s">
        <v>969</v>
      </c>
      <c r="B156">
        <v>26</v>
      </c>
      <c r="C156" t="s">
        <v>970</v>
      </c>
      <c r="D156" t="str">
        <f t="shared" si="5"/>
        <v>TO-s26-PAR</v>
      </c>
      <c r="E156" t="s">
        <v>433</v>
      </c>
      <c r="F156" t="s">
        <v>1036</v>
      </c>
      <c r="G156" t="s">
        <v>1037</v>
      </c>
      <c r="H156" t="s">
        <v>939</v>
      </c>
      <c r="I156" t="s">
        <v>940</v>
      </c>
    </row>
    <row r="157" spans="1:9" x14ac:dyDescent="0.25">
      <c r="A157" t="s">
        <v>969</v>
      </c>
      <c r="B157">
        <v>26</v>
      </c>
      <c r="C157" t="s">
        <v>970</v>
      </c>
      <c r="D157" t="str">
        <f t="shared" si="5"/>
        <v>TO-s26-PAR</v>
      </c>
      <c r="E157" t="s">
        <v>434</v>
      </c>
      <c r="F157" t="s">
        <v>1038</v>
      </c>
      <c r="G157" t="s">
        <v>1039</v>
      </c>
      <c r="H157" t="s">
        <v>481</v>
      </c>
      <c r="I157" t="s">
        <v>943</v>
      </c>
    </row>
    <row r="158" spans="1:9" x14ac:dyDescent="0.25">
      <c r="A158" t="s">
        <v>969</v>
      </c>
      <c r="B158">
        <v>27</v>
      </c>
      <c r="C158" t="s">
        <v>970</v>
      </c>
      <c r="D158" t="str">
        <f t="shared" si="5"/>
        <v>TO-s27-PAR</v>
      </c>
      <c r="E158" t="s">
        <v>430</v>
      </c>
      <c r="F158" t="s">
        <v>1040</v>
      </c>
      <c r="G158" t="s">
        <v>1041</v>
      </c>
      <c r="H158" t="s">
        <v>946</v>
      </c>
      <c r="I158" t="s">
        <v>947</v>
      </c>
    </row>
    <row r="159" spans="1:9" x14ac:dyDescent="0.25">
      <c r="A159" t="s">
        <v>969</v>
      </c>
      <c r="B159">
        <v>27</v>
      </c>
      <c r="C159" t="s">
        <v>970</v>
      </c>
      <c r="D159" t="str">
        <f t="shared" si="5"/>
        <v>TO-s27-PAR</v>
      </c>
      <c r="E159" t="s">
        <v>424</v>
      </c>
      <c r="F159" t="s">
        <v>1042</v>
      </c>
      <c r="G159" t="s">
        <v>1043</v>
      </c>
      <c r="H159" t="s">
        <v>950</v>
      </c>
      <c r="I159" t="s">
        <v>951</v>
      </c>
    </row>
    <row r="160" spans="1:9" x14ac:dyDescent="0.25">
      <c r="A160" t="s">
        <v>969</v>
      </c>
      <c r="B160">
        <v>27</v>
      </c>
      <c r="C160" t="s">
        <v>970</v>
      </c>
      <c r="D160" t="str">
        <f t="shared" si="5"/>
        <v>TO-s27-PAR</v>
      </c>
      <c r="E160" t="s">
        <v>431</v>
      </c>
      <c r="F160" t="s">
        <v>1044</v>
      </c>
      <c r="G160" t="s">
        <v>1045</v>
      </c>
      <c r="H160" t="s">
        <v>954</v>
      </c>
      <c r="I160" t="s">
        <v>955</v>
      </c>
    </row>
    <row r="161" spans="1:9" x14ac:dyDescent="0.25">
      <c r="A161" t="s">
        <v>969</v>
      </c>
      <c r="B161">
        <v>27</v>
      </c>
      <c r="C161" t="s">
        <v>970</v>
      </c>
      <c r="D161" t="str">
        <f t="shared" si="5"/>
        <v>TO-s27-PAR</v>
      </c>
      <c r="E161" t="s">
        <v>432</v>
      </c>
      <c r="F161" t="s">
        <v>1046</v>
      </c>
      <c r="G161" t="s">
        <v>1047</v>
      </c>
      <c r="H161" t="s">
        <v>958</v>
      </c>
      <c r="I161" t="s">
        <v>959</v>
      </c>
    </row>
    <row r="162" spans="1:9" x14ac:dyDescent="0.25">
      <c r="A162" t="s">
        <v>969</v>
      </c>
      <c r="B162">
        <v>27</v>
      </c>
      <c r="C162" t="s">
        <v>970</v>
      </c>
      <c r="D162" t="str">
        <f t="shared" si="5"/>
        <v>TO-s27-PAR</v>
      </c>
      <c r="E162" t="s">
        <v>433</v>
      </c>
      <c r="F162" t="s">
        <v>1048</v>
      </c>
      <c r="G162" t="s">
        <v>895</v>
      </c>
      <c r="H162" t="s">
        <v>962</v>
      </c>
      <c r="I162" t="s">
        <v>964</v>
      </c>
    </row>
    <row r="163" spans="1:9" x14ac:dyDescent="0.25">
      <c r="A163" t="s">
        <v>969</v>
      </c>
      <c r="B163">
        <v>27</v>
      </c>
      <c r="C163" t="s">
        <v>970</v>
      </c>
      <c r="D163" t="str">
        <f t="shared" si="5"/>
        <v>TO-s27-PAR</v>
      </c>
      <c r="E163" t="s">
        <v>434</v>
      </c>
      <c r="F163" t="s">
        <v>1049</v>
      </c>
      <c r="G163" t="s">
        <v>707</v>
      </c>
      <c r="H163" t="s">
        <v>950</v>
      </c>
      <c r="I163" t="s">
        <v>967</v>
      </c>
    </row>
    <row r="164" spans="1:9" x14ac:dyDescent="0.25">
      <c r="A164" t="s">
        <v>969</v>
      </c>
      <c r="B164">
        <v>28</v>
      </c>
      <c r="C164" t="s">
        <v>970</v>
      </c>
      <c r="D164" t="str">
        <f t="shared" si="5"/>
        <v>TO-s28-PAR</v>
      </c>
      <c r="E164" t="s">
        <v>430</v>
      </c>
      <c r="F164" t="s">
        <v>1050</v>
      </c>
      <c r="G164" t="s">
        <v>1051</v>
      </c>
      <c r="H164" t="s">
        <v>939</v>
      </c>
      <c r="I164" t="s">
        <v>1052</v>
      </c>
    </row>
    <row r="165" spans="1:9" x14ac:dyDescent="0.25">
      <c r="A165" t="s">
        <v>969</v>
      </c>
      <c r="B165">
        <v>28</v>
      </c>
      <c r="C165" t="s">
        <v>970</v>
      </c>
      <c r="D165" t="str">
        <f t="shared" si="5"/>
        <v>TO-s28-PAR</v>
      </c>
      <c r="E165" t="s">
        <v>424</v>
      </c>
      <c r="F165" t="s">
        <v>1053</v>
      </c>
      <c r="G165" t="s">
        <v>1054</v>
      </c>
      <c r="H165" t="s">
        <v>455</v>
      </c>
      <c r="I165" t="s">
        <v>1055</v>
      </c>
    </row>
    <row r="166" spans="1:9" x14ac:dyDescent="0.25">
      <c r="A166" t="s">
        <v>969</v>
      </c>
      <c r="B166">
        <v>28</v>
      </c>
      <c r="C166" t="s">
        <v>970</v>
      </c>
      <c r="D166" t="str">
        <f t="shared" si="5"/>
        <v>TO-s28-PAR</v>
      </c>
      <c r="E166" t="s">
        <v>431</v>
      </c>
      <c r="F166" t="s">
        <v>1056</v>
      </c>
      <c r="G166" t="s">
        <v>1057</v>
      </c>
      <c r="H166" t="s">
        <v>438</v>
      </c>
      <c r="I166" t="s">
        <v>1058</v>
      </c>
    </row>
    <row r="167" spans="1:9" x14ac:dyDescent="0.25">
      <c r="A167" t="s">
        <v>969</v>
      </c>
      <c r="B167">
        <v>28</v>
      </c>
      <c r="C167" t="s">
        <v>970</v>
      </c>
      <c r="D167" t="str">
        <f t="shared" si="5"/>
        <v>TO-s28-PAR</v>
      </c>
      <c r="E167" t="s">
        <v>432</v>
      </c>
      <c r="F167" t="s">
        <v>1059</v>
      </c>
      <c r="G167" t="s">
        <v>54</v>
      </c>
      <c r="H167" t="s">
        <v>169</v>
      </c>
      <c r="I167" t="s">
        <v>1060</v>
      </c>
    </row>
    <row r="168" spans="1:9" x14ac:dyDescent="0.25">
      <c r="A168" t="s">
        <v>969</v>
      </c>
      <c r="B168">
        <v>28</v>
      </c>
      <c r="C168" t="s">
        <v>970</v>
      </c>
      <c r="D168" t="str">
        <f t="shared" si="5"/>
        <v>TO-s28-PAR</v>
      </c>
      <c r="E168" t="s">
        <v>433</v>
      </c>
      <c r="F168" t="s">
        <v>1061</v>
      </c>
      <c r="G168" t="s">
        <v>1062</v>
      </c>
      <c r="H168" t="s">
        <v>1063</v>
      </c>
      <c r="I168" t="s">
        <v>1064</v>
      </c>
    </row>
    <row r="169" spans="1:9" x14ac:dyDescent="0.25">
      <c r="A169" t="s">
        <v>969</v>
      </c>
      <c r="B169">
        <v>28</v>
      </c>
      <c r="C169" t="s">
        <v>970</v>
      </c>
      <c r="D169" t="str">
        <f t="shared" si="5"/>
        <v>TO-s28-PAR</v>
      </c>
      <c r="E169" t="s">
        <v>434</v>
      </c>
      <c r="F169" t="s">
        <v>1065</v>
      </c>
      <c r="G169" t="s">
        <v>1066</v>
      </c>
      <c r="H169" t="s">
        <v>1067</v>
      </c>
      <c r="I169" t="s">
        <v>1068</v>
      </c>
    </row>
    <row r="170" spans="1:9" x14ac:dyDescent="0.25">
      <c r="A170" t="s">
        <v>969</v>
      </c>
      <c r="B170">
        <v>29</v>
      </c>
      <c r="C170" t="s">
        <v>970</v>
      </c>
      <c r="D170" t="str">
        <f t="shared" si="5"/>
        <v>TO-s29-PAR</v>
      </c>
      <c r="E170" t="s">
        <v>430</v>
      </c>
      <c r="F170" t="s">
        <v>1069</v>
      </c>
      <c r="G170" t="s">
        <v>589</v>
      </c>
      <c r="H170" t="s">
        <v>618</v>
      </c>
      <c r="I170" t="s">
        <v>1070</v>
      </c>
    </row>
    <row r="171" spans="1:9" x14ac:dyDescent="0.25">
      <c r="A171" t="s">
        <v>969</v>
      </c>
      <c r="B171">
        <v>29</v>
      </c>
      <c r="C171" t="s">
        <v>970</v>
      </c>
      <c r="D171" t="str">
        <f t="shared" si="5"/>
        <v>TO-s29-PAR</v>
      </c>
      <c r="E171" t="s">
        <v>424</v>
      </c>
      <c r="F171" t="s">
        <v>1071</v>
      </c>
      <c r="G171" t="s">
        <v>821</v>
      </c>
      <c r="H171" t="s">
        <v>842</v>
      </c>
      <c r="I171" t="s">
        <v>1072</v>
      </c>
    </row>
    <row r="172" spans="1:9" x14ac:dyDescent="0.25">
      <c r="A172" t="s">
        <v>969</v>
      </c>
      <c r="B172">
        <v>29</v>
      </c>
      <c r="C172" t="s">
        <v>970</v>
      </c>
      <c r="D172" t="str">
        <f t="shared" si="5"/>
        <v>TO-s29-PAR</v>
      </c>
      <c r="E172" t="s">
        <v>431</v>
      </c>
      <c r="F172" t="s">
        <v>1073</v>
      </c>
      <c r="G172" t="s">
        <v>1074</v>
      </c>
      <c r="H172" t="s">
        <v>839</v>
      </c>
      <c r="I172" t="s">
        <v>1075</v>
      </c>
    </row>
    <row r="173" spans="1:9" x14ac:dyDescent="0.25">
      <c r="A173" t="s">
        <v>969</v>
      </c>
      <c r="B173">
        <v>29</v>
      </c>
      <c r="C173" t="s">
        <v>970</v>
      </c>
      <c r="D173" t="str">
        <f t="shared" si="5"/>
        <v>TO-s29-PAR</v>
      </c>
      <c r="E173" t="s">
        <v>432</v>
      </c>
      <c r="F173" t="s">
        <v>1076</v>
      </c>
      <c r="G173" t="s">
        <v>1077</v>
      </c>
      <c r="H173" t="s">
        <v>934</v>
      </c>
      <c r="I173" t="s">
        <v>1078</v>
      </c>
    </row>
    <row r="174" spans="1:9" x14ac:dyDescent="0.25">
      <c r="A174" t="s">
        <v>969</v>
      </c>
      <c r="B174">
        <v>29</v>
      </c>
      <c r="C174" t="s">
        <v>970</v>
      </c>
      <c r="D174" t="str">
        <f t="shared" si="5"/>
        <v>TO-s29-PAR</v>
      </c>
      <c r="E174" t="s">
        <v>433</v>
      </c>
      <c r="F174" t="s">
        <v>1079</v>
      </c>
      <c r="G174" t="s">
        <v>1080</v>
      </c>
      <c r="H174" t="s">
        <v>481</v>
      </c>
      <c r="I174" t="s">
        <v>1081</v>
      </c>
    </row>
    <row r="175" spans="1:9" x14ac:dyDescent="0.25">
      <c r="A175" t="s">
        <v>969</v>
      </c>
      <c r="B175">
        <v>29</v>
      </c>
      <c r="C175" t="s">
        <v>970</v>
      </c>
      <c r="D175" t="str">
        <f t="shared" si="5"/>
        <v>TO-s29-PAR</v>
      </c>
      <c r="E175" t="s">
        <v>434</v>
      </c>
      <c r="F175" t="s">
        <v>1082</v>
      </c>
      <c r="G175" t="s">
        <v>911</v>
      </c>
      <c r="H175" t="s">
        <v>1083</v>
      </c>
      <c r="I175" t="s">
        <v>1084</v>
      </c>
    </row>
    <row r="176" spans="1:9" x14ac:dyDescent="0.25">
      <c r="A176" t="s">
        <v>969</v>
      </c>
      <c r="B176">
        <v>30</v>
      </c>
      <c r="C176" t="s">
        <v>970</v>
      </c>
      <c r="D176" t="str">
        <f t="shared" si="5"/>
        <v>TO-s30-PAR</v>
      </c>
      <c r="E176" t="s">
        <v>430</v>
      </c>
      <c r="F176" t="s">
        <v>1085</v>
      </c>
      <c r="G176" t="s">
        <v>1086</v>
      </c>
      <c r="H176" t="s">
        <v>883</v>
      </c>
      <c r="I176" t="s">
        <v>1087</v>
      </c>
    </row>
    <row r="177" spans="1:9" x14ac:dyDescent="0.25">
      <c r="A177" t="s">
        <v>969</v>
      </c>
      <c r="B177">
        <v>30</v>
      </c>
      <c r="C177" t="s">
        <v>970</v>
      </c>
      <c r="D177" t="str">
        <f t="shared" si="5"/>
        <v>TO-s30-PAR</v>
      </c>
      <c r="E177" t="s">
        <v>424</v>
      </c>
      <c r="F177" t="s">
        <v>1088</v>
      </c>
      <c r="G177" t="s">
        <v>61</v>
      </c>
      <c r="H177" t="s">
        <v>481</v>
      </c>
      <c r="I177" t="s">
        <v>1089</v>
      </c>
    </row>
    <row r="178" spans="1:9" x14ac:dyDescent="0.25">
      <c r="A178" t="s">
        <v>969</v>
      </c>
      <c r="B178">
        <v>30</v>
      </c>
      <c r="C178" t="s">
        <v>970</v>
      </c>
      <c r="D178" t="str">
        <f t="shared" si="5"/>
        <v>TO-s30-PAR</v>
      </c>
      <c r="E178" t="s">
        <v>431</v>
      </c>
      <c r="F178" t="s">
        <v>1090</v>
      </c>
      <c r="G178" t="s">
        <v>1091</v>
      </c>
      <c r="H178" t="s">
        <v>794</v>
      </c>
      <c r="I178" t="s">
        <v>1092</v>
      </c>
    </row>
    <row r="179" spans="1:9" x14ac:dyDescent="0.25">
      <c r="A179" t="s">
        <v>969</v>
      </c>
      <c r="B179">
        <v>30</v>
      </c>
      <c r="C179" t="s">
        <v>970</v>
      </c>
      <c r="D179" t="str">
        <f t="shared" si="5"/>
        <v>TO-s30-PAR</v>
      </c>
      <c r="E179" t="s">
        <v>432</v>
      </c>
      <c r="F179" t="s">
        <v>1093</v>
      </c>
      <c r="G179" t="s">
        <v>462</v>
      </c>
      <c r="H179" t="s">
        <v>1094</v>
      </c>
      <c r="I179" t="s">
        <v>1095</v>
      </c>
    </row>
    <row r="180" spans="1:9" x14ac:dyDescent="0.25">
      <c r="A180" t="s">
        <v>969</v>
      </c>
      <c r="B180">
        <v>30</v>
      </c>
      <c r="C180" t="s">
        <v>970</v>
      </c>
      <c r="D180" t="str">
        <f t="shared" si="5"/>
        <v>TO-s30-PAR</v>
      </c>
      <c r="E180" t="s">
        <v>433</v>
      </c>
      <c r="F180" t="s">
        <v>1096</v>
      </c>
      <c r="G180" t="s">
        <v>1097</v>
      </c>
      <c r="H180" t="s">
        <v>438</v>
      </c>
      <c r="I180" t="s">
        <v>1098</v>
      </c>
    </row>
    <row r="181" spans="1:9" x14ac:dyDescent="0.25">
      <c r="A181" t="s">
        <v>969</v>
      </c>
      <c r="B181">
        <v>30</v>
      </c>
      <c r="C181" t="s">
        <v>970</v>
      </c>
      <c r="D181" t="str">
        <f t="shared" si="5"/>
        <v>TO-s30-PAR</v>
      </c>
      <c r="E181" t="s">
        <v>434</v>
      </c>
      <c r="F181" t="s">
        <v>1099</v>
      </c>
      <c r="G181" t="s">
        <v>1100</v>
      </c>
      <c r="H181" t="s">
        <v>218</v>
      </c>
      <c r="I181" t="s">
        <v>1101</v>
      </c>
    </row>
    <row r="182" spans="1:9" x14ac:dyDescent="0.25">
      <c r="A182" t="s">
        <v>969</v>
      </c>
      <c r="B182">
        <v>31</v>
      </c>
      <c r="C182" t="s">
        <v>970</v>
      </c>
      <c r="D182" t="str">
        <f t="shared" si="5"/>
        <v>TO-s31-PAR</v>
      </c>
      <c r="E182" t="s">
        <v>430</v>
      </c>
      <c r="F182" t="s">
        <v>1102</v>
      </c>
      <c r="G182" t="s">
        <v>1103</v>
      </c>
      <c r="H182" t="s">
        <v>1104</v>
      </c>
      <c r="I182" t="s">
        <v>1105</v>
      </c>
    </row>
    <row r="183" spans="1:9" x14ac:dyDescent="0.25">
      <c r="A183" t="s">
        <v>969</v>
      </c>
      <c r="B183">
        <v>31</v>
      </c>
      <c r="C183" t="s">
        <v>970</v>
      </c>
      <c r="D183" t="str">
        <f t="shared" si="5"/>
        <v>TO-s31-PAR</v>
      </c>
      <c r="E183" t="s">
        <v>424</v>
      </c>
      <c r="F183" t="s">
        <v>1106</v>
      </c>
      <c r="G183" t="s">
        <v>1107</v>
      </c>
      <c r="H183" t="s">
        <v>696</v>
      </c>
      <c r="I183" t="s">
        <v>1108</v>
      </c>
    </row>
    <row r="184" spans="1:9" x14ac:dyDescent="0.25">
      <c r="A184" t="s">
        <v>969</v>
      </c>
      <c r="B184">
        <v>31</v>
      </c>
      <c r="C184" t="s">
        <v>970</v>
      </c>
      <c r="D184" t="str">
        <f t="shared" si="5"/>
        <v>TO-s31-PAR</v>
      </c>
      <c r="E184" t="s">
        <v>431</v>
      </c>
      <c r="F184" t="s">
        <v>1109</v>
      </c>
      <c r="G184" t="s">
        <v>851</v>
      </c>
      <c r="H184" t="s">
        <v>718</v>
      </c>
      <c r="I184" t="s">
        <v>1110</v>
      </c>
    </row>
    <row r="185" spans="1:9" x14ac:dyDescent="0.25">
      <c r="A185" t="s">
        <v>969</v>
      </c>
      <c r="B185">
        <v>31</v>
      </c>
      <c r="C185" t="s">
        <v>970</v>
      </c>
      <c r="D185" t="str">
        <f t="shared" si="5"/>
        <v>TO-s31-PAR</v>
      </c>
      <c r="E185" t="s">
        <v>432</v>
      </c>
      <c r="F185" t="s">
        <v>1111</v>
      </c>
      <c r="G185" t="s">
        <v>1112</v>
      </c>
      <c r="H185" t="s">
        <v>696</v>
      </c>
      <c r="I185" t="s">
        <v>1113</v>
      </c>
    </row>
    <row r="186" spans="1:9" x14ac:dyDescent="0.25">
      <c r="A186" t="s">
        <v>969</v>
      </c>
      <c r="B186">
        <v>31</v>
      </c>
      <c r="C186" t="s">
        <v>970</v>
      </c>
      <c r="D186" t="str">
        <f t="shared" si="5"/>
        <v>TO-s31-PAR</v>
      </c>
      <c r="E186" t="s">
        <v>433</v>
      </c>
      <c r="F186" t="s">
        <v>1114</v>
      </c>
      <c r="G186" t="s">
        <v>1115</v>
      </c>
      <c r="H186" t="s">
        <v>835</v>
      </c>
      <c r="I186" t="s">
        <v>1116</v>
      </c>
    </row>
    <row r="187" spans="1:9" x14ac:dyDescent="0.25">
      <c r="A187" t="s">
        <v>969</v>
      </c>
      <c r="B187">
        <v>31</v>
      </c>
      <c r="C187" t="s">
        <v>970</v>
      </c>
      <c r="D187" t="str">
        <f t="shared" si="5"/>
        <v>TO-s31-PAR</v>
      </c>
      <c r="E187" t="s">
        <v>434</v>
      </c>
      <c r="F187" t="s">
        <v>1117</v>
      </c>
      <c r="G187" t="s">
        <v>1118</v>
      </c>
      <c r="H187" t="s">
        <v>580</v>
      </c>
      <c r="I187" t="s">
        <v>1119</v>
      </c>
    </row>
    <row r="188" spans="1:9" x14ac:dyDescent="0.25">
      <c r="A188" t="s">
        <v>969</v>
      </c>
      <c r="B188">
        <v>32</v>
      </c>
      <c r="C188" t="s">
        <v>970</v>
      </c>
      <c r="D188" t="str">
        <f t="shared" si="5"/>
        <v>TO-s32-PAR</v>
      </c>
      <c r="E188" t="s">
        <v>430</v>
      </c>
      <c r="F188" t="s">
        <v>1120</v>
      </c>
      <c r="G188" t="s">
        <v>26</v>
      </c>
      <c r="H188" t="s">
        <v>1121</v>
      </c>
      <c r="I188" t="s">
        <v>1122</v>
      </c>
    </row>
    <row r="189" spans="1:9" x14ac:dyDescent="0.25">
      <c r="A189" t="s">
        <v>969</v>
      </c>
      <c r="B189">
        <v>32</v>
      </c>
      <c r="C189" t="s">
        <v>970</v>
      </c>
      <c r="D189" t="str">
        <f t="shared" si="5"/>
        <v>TO-s32-PAR</v>
      </c>
      <c r="E189" t="s">
        <v>424</v>
      </c>
      <c r="F189" t="s">
        <v>1123</v>
      </c>
      <c r="G189" t="s">
        <v>1124</v>
      </c>
      <c r="H189" t="s">
        <v>175</v>
      </c>
      <c r="I189" t="s">
        <v>1125</v>
      </c>
    </row>
    <row r="190" spans="1:9" x14ac:dyDescent="0.25">
      <c r="A190" t="s">
        <v>969</v>
      </c>
      <c r="B190">
        <v>32</v>
      </c>
      <c r="C190" t="s">
        <v>970</v>
      </c>
      <c r="D190" t="str">
        <f t="shared" si="5"/>
        <v>TO-s32-PAR</v>
      </c>
      <c r="E190" t="s">
        <v>431</v>
      </c>
      <c r="F190" t="s">
        <v>1126</v>
      </c>
      <c r="G190" t="s">
        <v>1127</v>
      </c>
      <c r="H190" t="s">
        <v>1128</v>
      </c>
      <c r="I190" t="s">
        <v>1129</v>
      </c>
    </row>
    <row r="191" spans="1:9" x14ac:dyDescent="0.25">
      <c r="A191" t="s">
        <v>969</v>
      </c>
      <c r="B191">
        <v>32</v>
      </c>
      <c r="C191" t="s">
        <v>970</v>
      </c>
      <c r="D191" t="str">
        <f t="shared" si="5"/>
        <v>TO-s32-PAR</v>
      </c>
      <c r="E191" t="s">
        <v>432</v>
      </c>
      <c r="F191" t="s">
        <v>1130</v>
      </c>
      <c r="G191" t="s">
        <v>20</v>
      </c>
      <c r="H191" t="s">
        <v>1131</v>
      </c>
      <c r="I191" t="s">
        <v>1132</v>
      </c>
    </row>
    <row r="192" spans="1:9" x14ac:dyDescent="0.25">
      <c r="A192" t="s">
        <v>969</v>
      </c>
      <c r="B192">
        <v>32</v>
      </c>
      <c r="C192" t="s">
        <v>970</v>
      </c>
      <c r="D192" t="str">
        <f t="shared" si="5"/>
        <v>TO-s32-PAR</v>
      </c>
      <c r="E192" t="s">
        <v>433</v>
      </c>
      <c r="F192" t="s">
        <v>1133</v>
      </c>
      <c r="G192" t="s">
        <v>1134</v>
      </c>
      <c r="H192" t="s">
        <v>1135</v>
      </c>
      <c r="I192" t="s">
        <v>1136</v>
      </c>
    </row>
    <row r="193" spans="1:9" x14ac:dyDescent="0.25">
      <c r="A193" t="s">
        <v>969</v>
      </c>
      <c r="B193">
        <v>32</v>
      </c>
      <c r="C193" t="s">
        <v>970</v>
      </c>
      <c r="D193" t="str">
        <f t="shared" si="5"/>
        <v>TO-s32-PAR</v>
      </c>
      <c r="E193" t="s">
        <v>434</v>
      </c>
      <c r="F193" t="s">
        <v>1137</v>
      </c>
      <c r="G193" t="s">
        <v>553</v>
      </c>
      <c r="H193" t="s">
        <v>794</v>
      </c>
      <c r="I193" t="s">
        <v>1138</v>
      </c>
    </row>
    <row r="194" spans="1:9" x14ac:dyDescent="0.25">
      <c r="A194" t="s">
        <v>969</v>
      </c>
      <c r="B194">
        <v>33</v>
      </c>
      <c r="C194" t="s">
        <v>970</v>
      </c>
      <c r="D194" t="str">
        <f t="shared" si="5"/>
        <v>TO-s33-PAR</v>
      </c>
      <c r="E194" t="s">
        <v>430</v>
      </c>
      <c r="F194" t="s">
        <v>1139</v>
      </c>
      <c r="G194" t="s">
        <v>1086</v>
      </c>
      <c r="H194" t="s">
        <v>861</v>
      </c>
      <c r="I194" t="s">
        <v>1140</v>
      </c>
    </row>
    <row r="195" spans="1:9" x14ac:dyDescent="0.25">
      <c r="A195" t="s">
        <v>969</v>
      </c>
      <c r="B195">
        <v>33</v>
      </c>
      <c r="C195" t="s">
        <v>970</v>
      </c>
      <c r="D195" t="str">
        <f t="shared" si="5"/>
        <v>TO-s33-PAR</v>
      </c>
      <c r="E195" t="s">
        <v>424</v>
      </c>
      <c r="F195" t="s">
        <v>1141</v>
      </c>
      <c r="G195" t="s">
        <v>1142</v>
      </c>
      <c r="H195" t="s">
        <v>1143</v>
      </c>
      <c r="I195" t="s">
        <v>1144</v>
      </c>
    </row>
    <row r="196" spans="1:9" x14ac:dyDescent="0.25">
      <c r="A196" t="s">
        <v>969</v>
      </c>
      <c r="B196">
        <v>33</v>
      </c>
      <c r="C196" t="s">
        <v>970</v>
      </c>
      <c r="D196" t="str">
        <f t="shared" si="5"/>
        <v>TO-s33-PAR</v>
      </c>
      <c r="E196" t="s">
        <v>431</v>
      </c>
      <c r="F196" t="s">
        <v>1145</v>
      </c>
      <c r="G196" t="s">
        <v>1146</v>
      </c>
      <c r="H196" t="s">
        <v>594</v>
      </c>
      <c r="I196" t="s">
        <v>1147</v>
      </c>
    </row>
    <row r="197" spans="1:9" x14ac:dyDescent="0.25">
      <c r="A197" t="s">
        <v>969</v>
      </c>
      <c r="B197">
        <v>33</v>
      </c>
      <c r="C197" t="s">
        <v>970</v>
      </c>
      <c r="D197" t="str">
        <f t="shared" si="5"/>
        <v>TO-s33-PAR</v>
      </c>
      <c r="E197" t="s">
        <v>432</v>
      </c>
      <c r="F197" t="s">
        <v>1148</v>
      </c>
      <c r="G197" t="s">
        <v>827</v>
      </c>
      <c r="H197" t="s">
        <v>939</v>
      </c>
      <c r="I197" t="s">
        <v>1149</v>
      </c>
    </row>
    <row r="198" spans="1:9" x14ac:dyDescent="0.25">
      <c r="A198" t="s">
        <v>969</v>
      </c>
      <c r="B198">
        <v>33</v>
      </c>
      <c r="C198" t="s">
        <v>970</v>
      </c>
      <c r="D198" t="str">
        <f t="shared" si="5"/>
        <v>TO-s33-PAR</v>
      </c>
      <c r="E198" t="s">
        <v>433</v>
      </c>
      <c r="F198" t="s">
        <v>1150</v>
      </c>
      <c r="G198" t="s">
        <v>797</v>
      </c>
      <c r="H198" t="s">
        <v>438</v>
      </c>
      <c r="I198" t="s">
        <v>1151</v>
      </c>
    </row>
    <row r="199" spans="1:9" x14ac:dyDescent="0.25">
      <c r="A199" t="s">
        <v>969</v>
      </c>
      <c r="B199">
        <v>33</v>
      </c>
      <c r="C199" t="s">
        <v>970</v>
      </c>
      <c r="D199" t="str">
        <f t="shared" si="5"/>
        <v>TO-s33-PAR</v>
      </c>
      <c r="E199" t="s">
        <v>434</v>
      </c>
      <c r="F199" t="s">
        <v>1152</v>
      </c>
      <c r="G199" t="s">
        <v>462</v>
      </c>
      <c r="H199" t="s">
        <v>466</v>
      </c>
      <c r="I199" t="s">
        <v>1153</v>
      </c>
    </row>
    <row r="200" spans="1:9" x14ac:dyDescent="0.25">
      <c r="A200" t="s">
        <v>969</v>
      </c>
      <c r="B200">
        <v>34</v>
      </c>
      <c r="C200" t="s">
        <v>970</v>
      </c>
      <c r="D200" t="str">
        <f t="shared" si="5"/>
        <v>TO-s34-PAR</v>
      </c>
      <c r="E200" t="s">
        <v>430</v>
      </c>
      <c r="F200" t="s">
        <v>1154</v>
      </c>
      <c r="G200" t="s">
        <v>26</v>
      </c>
      <c r="H200" t="s">
        <v>839</v>
      </c>
      <c r="I200" t="s">
        <v>1155</v>
      </c>
    </row>
    <row r="201" spans="1:9" x14ac:dyDescent="0.25">
      <c r="A201" t="s">
        <v>969</v>
      </c>
      <c r="B201">
        <v>34</v>
      </c>
      <c r="C201" t="s">
        <v>970</v>
      </c>
      <c r="D201" t="str">
        <f t="shared" si="5"/>
        <v>TO-s34-PAR</v>
      </c>
      <c r="E201" t="s">
        <v>424</v>
      </c>
      <c r="F201" t="s">
        <v>1156</v>
      </c>
      <c r="G201" t="s">
        <v>593</v>
      </c>
      <c r="H201" t="s">
        <v>1157</v>
      </c>
      <c r="I201" t="s">
        <v>1158</v>
      </c>
    </row>
    <row r="202" spans="1:9" x14ac:dyDescent="0.25">
      <c r="A202" t="s">
        <v>969</v>
      </c>
      <c r="B202">
        <v>34</v>
      </c>
      <c r="C202" t="s">
        <v>970</v>
      </c>
      <c r="D202" t="str">
        <f t="shared" si="5"/>
        <v>TO-s34-PAR</v>
      </c>
      <c r="E202" t="s">
        <v>431</v>
      </c>
      <c r="F202" t="s">
        <v>1159</v>
      </c>
      <c r="G202" t="s">
        <v>1160</v>
      </c>
      <c r="H202" t="s">
        <v>1157</v>
      </c>
      <c r="I202" t="s">
        <v>1161</v>
      </c>
    </row>
    <row r="203" spans="1:9" x14ac:dyDescent="0.25">
      <c r="A203" t="s">
        <v>969</v>
      </c>
      <c r="B203">
        <v>34</v>
      </c>
      <c r="C203" t="s">
        <v>970</v>
      </c>
      <c r="D203" t="str">
        <f t="shared" si="5"/>
        <v>TO-s34-PAR</v>
      </c>
      <c r="E203" t="s">
        <v>432</v>
      </c>
      <c r="F203" t="s">
        <v>1162</v>
      </c>
      <c r="G203" t="s">
        <v>1163</v>
      </c>
      <c r="H203" t="s">
        <v>1135</v>
      </c>
      <c r="I203" t="s">
        <v>1164</v>
      </c>
    </row>
    <row r="204" spans="1:9" x14ac:dyDescent="0.25">
      <c r="A204" t="s">
        <v>969</v>
      </c>
      <c r="B204">
        <v>34</v>
      </c>
      <c r="C204" t="s">
        <v>970</v>
      </c>
      <c r="D204" t="str">
        <f t="shared" si="5"/>
        <v>TO-s34-PAR</v>
      </c>
      <c r="E204" t="s">
        <v>433</v>
      </c>
      <c r="F204" t="s">
        <v>1165</v>
      </c>
      <c r="G204" t="s">
        <v>1166</v>
      </c>
      <c r="H204" t="s">
        <v>1135</v>
      </c>
      <c r="I204" t="s">
        <v>1167</v>
      </c>
    </row>
    <row r="205" spans="1:9" x14ac:dyDescent="0.25">
      <c r="A205" t="s">
        <v>969</v>
      </c>
      <c r="B205">
        <v>34</v>
      </c>
      <c r="C205" t="s">
        <v>970</v>
      </c>
      <c r="D205" t="str">
        <f t="shared" si="5"/>
        <v>TO-s34-PAR</v>
      </c>
      <c r="E205" t="s">
        <v>434</v>
      </c>
      <c r="F205" t="s">
        <v>1168</v>
      </c>
      <c r="G205" t="s">
        <v>1169</v>
      </c>
      <c r="H205" t="s">
        <v>842</v>
      </c>
      <c r="I205" t="s">
        <v>1170</v>
      </c>
    </row>
    <row r="206" spans="1:9" x14ac:dyDescent="0.25">
      <c r="A206" s="4" t="s">
        <v>969</v>
      </c>
      <c r="B206" s="4">
        <v>1</v>
      </c>
      <c r="C206" s="4" t="s">
        <v>968</v>
      </c>
      <c r="D206" s="4" t="str">
        <f t="shared" si="5"/>
        <v>TO-s1-IMP</v>
      </c>
      <c r="E206" s="4" t="s">
        <v>430</v>
      </c>
      <c r="F206" s="4" t="s">
        <v>55</v>
      </c>
      <c r="G206" s="4" t="s">
        <v>1171</v>
      </c>
      <c r="H206" s="4" t="s">
        <v>422</v>
      </c>
      <c r="I206" s="4" t="s">
        <v>423</v>
      </c>
    </row>
    <row r="207" spans="1:9" x14ac:dyDescent="0.25">
      <c r="A207" t="s">
        <v>969</v>
      </c>
      <c r="B207">
        <v>1</v>
      </c>
      <c r="C207" t="s">
        <v>968</v>
      </c>
      <c r="D207" t="str">
        <f t="shared" si="5"/>
        <v>TO-s1-IMP</v>
      </c>
      <c r="E207" t="s">
        <v>424</v>
      </c>
      <c r="F207" t="s">
        <v>1172</v>
      </c>
      <c r="G207" t="s">
        <v>1173</v>
      </c>
      <c r="H207" t="s">
        <v>427</v>
      </c>
      <c r="I207" t="s">
        <v>428</v>
      </c>
    </row>
    <row r="208" spans="1:9" x14ac:dyDescent="0.25">
      <c r="A208" t="s">
        <v>969</v>
      </c>
      <c r="B208">
        <v>1</v>
      </c>
      <c r="C208" t="s">
        <v>968</v>
      </c>
      <c r="D208" t="str">
        <f t="shared" si="5"/>
        <v>TO-s1-IMP</v>
      </c>
      <c r="E208" t="s">
        <v>431</v>
      </c>
      <c r="F208" t="s">
        <v>1174</v>
      </c>
      <c r="G208" t="s">
        <v>1175</v>
      </c>
      <c r="H208" t="s">
        <v>1176</v>
      </c>
      <c r="I208" t="s">
        <v>1177</v>
      </c>
    </row>
    <row r="209" spans="1:9" x14ac:dyDescent="0.25">
      <c r="A209" t="s">
        <v>969</v>
      </c>
      <c r="B209">
        <v>1</v>
      </c>
      <c r="C209" t="s">
        <v>968</v>
      </c>
      <c r="D209" t="str">
        <f t="shared" si="5"/>
        <v>TO-s1-IMP</v>
      </c>
      <c r="E209" t="s">
        <v>432</v>
      </c>
      <c r="F209" t="s">
        <v>1178</v>
      </c>
      <c r="G209" t="s">
        <v>1179</v>
      </c>
      <c r="H209" t="s">
        <v>442</v>
      </c>
      <c r="I209" t="s">
        <v>1180</v>
      </c>
    </row>
    <row r="210" spans="1:9" x14ac:dyDescent="0.25">
      <c r="A210" t="s">
        <v>969</v>
      </c>
      <c r="B210">
        <v>1</v>
      </c>
      <c r="C210" t="s">
        <v>968</v>
      </c>
      <c r="D210" t="str">
        <f t="shared" si="5"/>
        <v>TO-s1-IMP</v>
      </c>
      <c r="E210" t="s">
        <v>433</v>
      </c>
      <c r="F210" t="s">
        <v>1181</v>
      </c>
      <c r="G210" t="s">
        <v>1182</v>
      </c>
      <c r="H210" t="s">
        <v>446</v>
      </c>
      <c r="I210" t="s">
        <v>447</v>
      </c>
    </row>
    <row r="211" spans="1:9" x14ac:dyDescent="0.25">
      <c r="A211" t="s">
        <v>969</v>
      </c>
      <c r="B211">
        <v>1</v>
      </c>
      <c r="C211" t="s">
        <v>968</v>
      </c>
      <c r="D211" t="str">
        <f t="shared" ref="D211" si="6">_xlfn.CONCAT(A211,"-s",B211,"-",C211)</f>
        <v>TO-s1-IMP</v>
      </c>
      <c r="E211" t="s">
        <v>434</v>
      </c>
      <c r="F211" t="s">
        <v>1183</v>
      </c>
      <c r="G211" t="s">
        <v>560</v>
      </c>
      <c r="H211" t="s">
        <v>22</v>
      </c>
      <c r="I211" t="s">
        <v>450</v>
      </c>
    </row>
    <row r="212" spans="1:9" x14ac:dyDescent="0.25">
      <c r="A212" t="s">
        <v>969</v>
      </c>
      <c r="B212">
        <v>2</v>
      </c>
      <c r="C212" t="s">
        <v>968</v>
      </c>
      <c r="D212" t="str">
        <f t="shared" ref="D212:D275" si="7">_xlfn.CONCAT(A212,"-s",B212,"-",C212)</f>
        <v>TO-s2-IMP</v>
      </c>
      <c r="E212" t="s">
        <v>430</v>
      </c>
      <c r="F212" t="s">
        <v>1184</v>
      </c>
      <c r="G212" t="s">
        <v>1185</v>
      </c>
      <c r="H212" t="s">
        <v>455</v>
      </c>
      <c r="I212" t="s">
        <v>456</v>
      </c>
    </row>
    <row r="213" spans="1:9" x14ac:dyDescent="0.25">
      <c r="A213" t="s">
        <v>969</v>
      </c>
      <c r="B213">
        <v>2</v>
      </c>
      <c r="C213" t="s">
        <v>968</v>
      </c>
      <c r="D213" t="str">
        <f t="shared" si="7"/>
        <v>TO-s2-IMP</v>
      </c>
      <c r="E213" t="s">
        <v>424</v>
      </c>
      <c r="F213" t="s">
        <v>1186</v>
      </c>
      <c r="G213" t="s">
        <v>1187</v>
      </c>
      <c r="H213" t="s">
        <v>459</v>
      </c>
      <c r="I213" t="s">
        <v>460</v>
      </c>
    </row>
    <row r="214" spans="1:9" x14ac:dyDescent="0.25">
      <c r="A214" t="s">
        <v>969</v>
      </c>
      <c r="B214">
        <v>2</v>
      </c>
      <c r="C214" t="s">
        <v>968</v>
      </c>
      <c r="D214" t="str">
        <f t="shared" si="7"/>
        <v>TO-s2-IMP</v>
      </c>
      <c r="E214" t="s">
        <v>431</v>
      </c>
      <c r="F214" t="s">
        <v>1188</v>
      </c>
      <c r="G214" t="s">
        <v>1185</v>
      </c>
      <c r="H214" t="s">
        <v>442</v>
      </c>
      <c r="I214" t="s">
        <v>463</v>
      </c>
    </row>
    <row r="215" spans="1:9" x14ac:dyDescent="0.25">
      <c r="A215" t="s">
        <v>969</v>
      </c>
      <c r="B215">
        <v>2</v>
      </c>
      <c r="C215" t="s">
        <v>968</v>
      </c>
      <c r="D215" t="str">
        <f t="shared" si="7"/>
        <v>TO-s2-IMP</v>
      </c>
      <c r="E215" t="s">
        <v>432</v>
      </c>
      <c r="F215" t="s">
        <v>1189</v>
      </c>
      <c r="G215" t="s">
        <v>1007</v>
      </c>
      <c r="H215" t="s">
        <v>466</v>
      </c>
      <c r="I215" t="s">
        <v>467</v>
      </c>
    </row>
    <row r="216" spans="1:9" x14ac:dyDescent="0.25">
      <c r="A216" t="s">
        <v>969</v>
      </c>
      <c r="B216">
        <v>2</v>
      </c>
      <c r="C216" t="s">
        <v>968</v>
      </c>
      <c r="D216" t="str">
        <f t="shared" si="7"/>
        <v>TO-s2-IMP</v>
      </c>
      <c r="E216" t="s">
        <v>433</v>
      </c>
      <c r="F216" t="s">
        <v>1190</v>
      </c>
      <c r="G216" t="s">
        <v>1191</v>
      </c>
      <c r="H216" t="s">
        <v>470</v>
      </c>
      <c r="I216" t="s">
        <v>471</v>
      </c>
    </row>
    <row r="217" spans="1:9" x14ac:dyDescent="0.25">
      <c r="A217" t="s">
        <v>969</v>
      </c>
      <c r="B217">
        <v>2</v>
      </c>
      <c r="C217" t="s">
        <v>968</v>
      </c>
      <c r="D217" t="str">
        <f t="shared" si="7"/>
        <v>TO-s2-IMP</v>
      </c>
      <c r="E217" t="s">
        <v>434</v>
      </c>
      <c r="F217" t="s">
        <v>1192</v>
      </c>
      <c r="G217" t="s">
        <v>182</v>
      </c>
      <c r="H217" t="s">
        <v>958</v>
      </c>
      <c r="I217" t="s">
        <v>475</v>
      </c>
    </row>
    <row r="218" spans="1:9" x14ac:dyDescent="0.25">
      <c r="A218" t="s">
        <v>969</v>
      </c>
      <c r="B218">
        <v>3</v>
      </c>
      <c r="C218" t="s">
        <v>968</v>
      </c>
      <c r="D218" t="str">
        <f t="shared" si="7"/>
        <v>TO-s3-IMP</v>
      </c>
      <c r="E218" t="s">
        <v>430</v>
      </c>
      <c r="F218" t="s">
        <v>1193</v>
      </c>
      <c r="G218" t="s">
        <v>54</v>
      </c>
      <c r="H218" t="s">
        <v>466</v>
      </c>
      <c r="I218" t="s">
        <v>478</v>
      </c>
    </row>
    <row r="219" spans="1:9" x14ac:dyDescent="0.25">
      <c r="A219" t="s">
        <v>969</v>
      </c>
      <c r="B219">
        <v>3</v>
      </c>
      <c r="C219" t="s">
        <v>968</v>
      </c>
      <c r="D219" t="str">
        <f t="shared" si="7"/>
        <v>TO-s3-IMP</v>
      </c>
      <c r="E219" t="s">
        <v>424</v>
      </c>
      <c r="F219" t="s">
        <v>1194</v>
      </c>
      <c r="G219" t="s">
        <v>1195</v>
      </c>
      <c r="H219" t="s">
        <v>481</v>
      </c>
      <c r="I219" t="s">
        <v>482</v>
      </c>
    </row>
    <row r="220" spans="1:9" x14ac:dyDescent="0.25">
      <c r="A220" t="s">
        <v>969</v>
      </c>
      <c r="B220">
        <v>3</v>
      </c>
      <c r="C220" t="s">
        <v>968</v>
      </c>
      <c r="D220" t="str">
        <f t="shared" si="7"/>
        <v>TO-s3-IMP</v>
      </c>
      <c r="E220" t="s">
        <v>431</v>
      </c>
      <c r="F220" t="s">
        <v>1196</v>
      </c>
      <c r="G220" t="s">
        <v>1185</v>
      </c>
      <c r="H220" t="s">
        <v>291</v>
      </c>
      <c r="I220" t="s">
        <v>485</v>
      </c>
    </row>
    <row r="221" spans="1:9" x14ac:dyDescent="0.25">
      <c r="A221" t="s">
        <v>969</v>
      </c>
      <c r="B221">
        <v>3</v>
      </c>
      <c r="C221" t="s">
        <v>968</v>
      </c>
      <c r="D221" t="str">
        <f t="shared" si="7"/>
        <v>TO-s3-IMP</v>
      </c>
      <c r="E221" t="s">
        <v>432</v>
      </c>
      <c r="F221" t="s">
        <v>1197</v>
      </c>
      <c r="G221" t="s">
        <v>26</v>
      </c>
      <c r="H221" t="s">
        <v>1198</v>
      </c>
      <c r="I221" t="s">
        <v>489</v>
      </c>
    </row>
    <row r="222" spans="1:9" x14ac:dyDescent="0.25">
      <c r="A222" t="s">
        <v>969</v>
      </c>
      <c r="B222">
        <v>3</v>
      </c>
      <c r="C222" t="s">
        <v>968</v>
      </c>
      <c r="D222" t="str">
        <f t="shared" si="7"/>
        <v>TO-s3-IMP</v>
      </c>
      <c r="E222" t="s">
        <v>433</v>
      </c>
      <c r="F222" t="s">
        <v>1199</v>
      </c>
      <c r="G222" t="s">
        <v>1200</v>
      </c>
      <c r="H222" t="s">
        <v>481</v>
      </c>
      <c r="I222" t="s">
        <v>492</v>
      </c>
    </row>
    <row r="223" spans="1:9" x14ac:dyDescent="0.25">
      <c r="A223" t="s">
        <v>969</v>
      </c>
      <c r="B223">
        <v>3</v>
      </c>
      <c r="C223" t="s">
        <v>968</v>
      </c>
      <c r="D223" t="str">
        <f t="shared" si="7"/>
        <v>TO-s3-IMP</v>
      </c>
      <c r="E223" t="s">
        <v>434</v>
      </c>
      <c r="F223" t="s">
        <v>1201</v>
      </c>
      <c r="G223" t="s">
        <v>1202</v>
      </c>
      <c r="H223" t="s">
        <v>495</v>
      </c>
      <c r="I223" t="s">
        <v>496</v>
      </c>
    </row>
    <row r="224" spans="1:9" x14ac:dyDescent="0.25">
      <c r="A224" t="s">
        <v>969</v>
      </c>
      <c r="B224">
        <v>4</v>
      </c>
      <c r="C224" t="s">
        <v>968</v>
      </c>
      <c r="D224" t="str">
        <f t="shared" si="7"/>
        <v>TO-s4-IMP</v>
      </c>
      <c r="E224" t="s">
        <v>430</v>
      </c>
      <c r="F224" t="s">
        <v>1203</v>
      </c>
      <c r="G224" t="s">
        <v>1204</v>
      </c>
      <c r="H224" t="s">
        <v>446</v>
      </c>
      <c r="I224" t="s">
        <v>499</v>
      </c>
    </row>
    <row r="225" spans="1:9" x14ac:dyDescent="0.25">
      <c r="A225" t="s">
        <v>969</v>
      </c>
      <c r="B225">
        <v>4</v>
      </c>
      <c r="C225" t="s">
        <v>968</v>
      </c>
      <c r="D225" t="str">
        <f t="shared" si="7"/>
        <v>TO-s4-IMP</v>
      </c>
      <c r="E225" t="s">
        <v>424</v>
      </c>
      <c r="F225" t="s">
        <v>1205</v>
      </c>
      <c r="G225" t="s">
        <v>1206</v>
      </c>
      <c r="H225" t="s">
        <v>502</v>
      </c>
      <c r="I225" t="s">
        <v>503</v>
      </c>
    </row>
    <row r="226" spans="1:9" x14ac:dyDescent="0.25">
      <c r="A226" t="s">
        <v>969</v>
      </c>
      <c r="B226">
        <v>4</v>
      </c>
      <c r="C226" t="s">
        <v>968</v>
      </c>
      <c r="D226" t="str">
        <f t="shared" si="7"/>
        <v>TO-s4-IMP</v>
      </c>
      <c r="E226" t="s">
        <v>431</v>
      </c>
      <c r="F226" t="s">
        <v>1207</v>
      </c>
      <c r="G226" t="s">
        <v>1208</v>
      </c>
      <c r="H226" t="s">
        <v>438</v>
      </c>
      <c r="I226" t="s">
        <v>506</v>
      </c>
    </row>
    <row r="227" spans="1:9" x14ac:dyDescent="0.25">
      <c r="A227" t="s">
        <v>969</v>
      </c>
      <c r="B227">
        <v>4</v>
      </c>
      <c r="C227" t="s">
        <v>968</v>
      </c>
      <c r="D227" t="str">
        <f t="shared" si="7"/>
        <v>TO-s4-IMP</v>
      </c>
      <c r="E227" t="s">
        <v>432</v>
      </c>
      <c r="F227" t="s">
        <v>1209</v>
      </c>
      <c r="G227" t="s">
        <v>1210</v>
      </c>
      <c r="H227" t="s">
        <v>422</v>
      </c>
      <c r="I227" t="s">
        <v>509</v>
      </c>
    </row>
    <row r="228" spans="1:9" x14ac:dyDescent="0.25">
      <c r="A228" t="s">
        <v>969</v>
      </c>
      <c r="B228">
        <v>4</v>
      </c>
      <c r="C228" t="s">
        <v>968</v>
      </c>
      <c r="D228" t="str">
        <f t="shared" si="7"/>
        <v>TO-s4-IMP</v>
      </c>
      <c r="E228" t="s">
        <v>433</v>
      </c>
      <c r="F228" t="s">
        <v>1211</v>
      </c>
      <c r="G228" t="s">
        <v>1212</v>
      </c>
      <c r="H228" t="s">
        <v>512</v>
      </c>
      <c r="I228" t="s">
        <v>513</v>
      </c>
    </row>
    <row r="229" spans="1:9" x14ac:dyDescent="0.25">
      <c r="A229" t="s">
        <v>969</v>
      </c>
      <c r="B229">
        <v>4</v>
      </c>
      <c r="C229" t="s">
        <v>968</v>
      </c>
      <c r="D229" t="str">
        <f t="shared" si="7"/>
        <v>TO-s4-IMP</v>
      </c>
      <c r="E229" t="s">
        <v>434</v>
      </c>
      <c r="F229" t="s">
        <v>1213</v>
      </c>
      <c r="G229" t="s">
        <v>111</v>
      </c>
      <c r="H229" t="s">
        <v>438</v>
      </c>
      <c r="I229" t="s">
        <v>1214</v>
      </c>
    </row>
    <row r="230" spans="1:9" x14ac:dyDescent="0.25">
      <c r="A230" t="s">
        <v>969</v>
      </c>
      <c r="B230">
        <v>5</v>
      </c>
      <c r="C230" t="s">
        <v>968</v>
      </c>
      <c r="D230" t="str">
        <f t="shared" si="7"/>
        <v>TO-s5-IMP</v>
      </c>
      <c r="E230" t="s">
        <v>430</v>
      </c>
      <c r="F230" t="s">
        <v>1215</v>
      </c>
      <c r="G230" t="s">
        <v>1216</v>
      </c>
      <c r="H230" t="s">
        <v>442</v>
      </c>
      <c r="I230" t="s">
        <v>519</v>
      </c>
    </row>
    <row r="231" spans="1:9" x14ac:dyDescent="0.25">
      <c r="A231" t="s">
        <v>969</v>
      </c>
      <c r="B231">
        <v>5</v>
      </c>
      <c r="C231" t="s">
        <v>968</v>
      </c>
      <c r="D231" t="str">
        <f t="shared" si="7"/>
        <v>TO-s5-IMP</v>
      </c>
      <c r="E231" t="s">
        <v>424</v>
      </c>
      <c r="F231" t="s">
        <v>1217</v>
      </c>
      <c r="G231" t="s">
        <v>1218</v>
      </c>
      <c r="H231" t="s">
        <v>522</v>
      </c>
      <c r="I231" t="s">
        <v>523</v>
      </c>
    </row>
    <row r="232" spans="1:9" x14ac:dyDescent="0.25">
      <c r="A232" t="s">
        <v>969</v>
      </c>
      <c r="B232">
        <v>5</v>
      </c>
      <c r="C232" t="s">
        <v>968</v>
      </c>
      <c r="D232" t="str">
        <f t="shared" si="7"/>
        <v>TO-s5-IMP</v>
      </c>
      <c r="E232" t="s">
        <v>431</v>
      </c>
      <c r="F232" t="s">
        <v>1219</v>
      </c>
      <c r="G232" t="s">
        <v>1220</v>
      </c>
      <c r="H232" t="s">
        <v>883</v>
      </c>
      <c r="I232" t="s">
        <v>527</v>
      </c>
    </row>
    <row r="233" spans="1:9" x14ac:dyDescent="0.25">
      <c r="A233" t="s">
        <v>969</v>
      </c>
      <c r="B233">
        <v>5</v>
      </c>
      <c r="C233" t="s">
        <v>968</v>
      </c>
      <c r="D233" t="str">
        <f t="shared" si="7"/>
        <v>TO-s5-IMP</v>
      </c>
      <c r="E233" t="s">
        <v>432</v>
      </c>
      <c r="F233" t="s">
        <v>1221</v>
      </c>
      <c r="G233" t="s">
        <v>61</v>
      </c>
      <c r="H233" t="s">
        <v>1222</v>
      </c>
      <c r="I233" t="s">
        <v>531</v>
      </c>
    </row>
    <row r="234" spans="1:9" x14ac:dyDescent="0.25">
      <c r="A234" t="s">
        <v>969</v>
      </c>
      <c r="B234">
        <v>5</v>
      </c>
      <c r="C234" t="s">
        <v>968</v>
      </c>
      <c r="D234" t="str">
        <f t="shared" si="7"/>
        <v>TO-s5-IMP</v>
      </c>
      <c r="E234" t="s">
        <v>433</v>
      </c>
      <c r="F234" t="s">
        <v>1223</v>
      </c>
      <c r="G234" t="s">
        <v>1224</v>
      </c>
      <c r="H234" t="s">
        <v>958</v>
      </c>
      <c r="I234" t="s">
        <v>534</v>
      </c>
    </row>
    <row r="235" spans="1:9" x14ac:dyDescent="0.25">
      <c r="A235" t="s">
        <v>969</v>
      </c>
      <c r="B235">
        <v>5</v>
      </c>
      <c r="C235" t="s">
        <v>968</v>
      </c>
      <c r="D235" t="str">
        <f t="shared" si="7"/>
        <v>TO-s5-IMP</v>
      </c>
      <c r="E235" t="s">
        <v>434</v>
      </c>
      <c r="F235" t="s">
        <v>1225</v>
      </c>
      <c r="G235" t="s">
        <v>1226</v>
      </c>
      <c r="H235" t="s">
        <v>537</v>
      </c>
      <c r="I235" t="s">
        <v>538</v>
      </c>
    </row>
    <row r="236" spans="1:9" x14ac:dyDescent="0.25">
      <c r="A236" t="s">
        <v>969</v>
      </c>
      <c r="B236">
        <v>6</v>
      </c>
      <c r="C236" t="s">
        <v>968</v>
      </c>
      <c r="D236" t="str">
        <f t="shared" si="7"/>
        <v>TO-s6-IMP</v>
      </c>
      <c r="E236" t="s">
        <v>430</v>
      </c>
      <c r="F236" t="s">
        <v>1227</v>
      </c>
      <c r="G236" t="s">
        <v>1228</v>
      </c>
      <c r="H236" t="s">
        <v>169</v>
      </c>
      <c r="I236" t="s">
        <v>541</v>
      </c>
    </row>
    <row r="237" spans="1:9" x14ac:dyDescent="0.25">
      <c r="A237" t="s">
        <v>969</v>
      </c>
      <c r="B237">
        <v>6</v>
      </c>
      <c r="C237" t="s">
        <v>968</v>
      </c>
      <c r="D237" t="str">
        <f t="shared" si="7"/>
        <v>TO-s6-IMP</v>
      </c>
      <c r="E237" t="s">
        <v>424</v>
      </c>
      <c r="F237" t="s">
        <v>1229</v>
      </c>
      <c r="G237" t="s">
        <v>1230</v>
      </c>
      <c r="H237" t="s">
        <v>175</v>
      </c>
      <c r="I237" t="s">
        <v>544</v>
      </c>
    </row>
    <row r="238" spans="1:9" x14ac:dyDescent="0.25">
      <c r="A238" t="s">
        <v>969</v>
      </c>
      <c r="B238">
        <v>6</v>
      </c>
      <c r="C238" t="s">
        <v>968</v>
      </c>
      <c r="D238" t="str">
        <f t="shared" si="7"/>
        <v>TO-s6-IMP</v>
      </c>
      <c r="E238" t="s">
        <v>431</v>
      </c>
      <c r="F238" t="s">
        <v>1231</v>
      </c>
      <c r="G238" t="s">
        <v>1232</v>
      </c>
      <c r="H238" t="s">
        <v>459</v>
      </c>
      <c r="I238" t="s">
        <v>547</v>
      </c>
    </row>
    <row r="239" spans="1:9" x14ac:dyDescent="0.25">
      <c r="A239" t="s">
        <v>969</v>
      </c>
      <c r="B239">
        <v>6</v>
      </c>
      <c r="C239" t="s">
        <v>968</v>
      </c>
      <c r="D239" t="str">
        <f t="shared" si="7"/>
        <v>TO-s6-IMP</v>
      </c>
      <c r="E239" t="s">
        <v>432</v>
      </c>
      <c r="F239" t="s">
        <v>1233</v>
      </c>
      <c r="G239" t="s">
        <v>777</v>
      </c>
      <c r="H239" t="s">
        <v>550</v>
      </c>
      <c r="I239" t="s">
        <v>551</v>
      </c>
    </row>
    <row r="240" spans="1:9" x14ac:dyDescent="0.25">
      <c r="A240" t="s">
        <v>969</v>
      </c>
      <c r="B240">
        <v>6</v>
      </c>
      <c r="C240" t="s">
        <v>968</v>
      </c>
      <c r="D240" t="str">
        <f t="shared" si="7"/>
        <v>TO-s6-IMP</v>
      </c>
      <c r="E240" t="s">
        <v>433</v>
      </c>
      <c r="F240" t="s">
        <v>1234</v>
      </c>
      <c r="G240" t="s">
        <v>1235</v>
      </c>
      <c r="H240" t="s">
        <v>554</v>
      </c>
      <c r="I240" t="s">
        <v>555</v>
      </c>
    </row>
    <row r="241" spans="1:9" x14ac:dyDescent="0.25">
      <c r="A241" t="s">
        <v>969</v>
      </c>
      <c r="B241">
        <v>6</v>
      </c>
      <c r="C241" t="s">
        <v>968</v>
      </c>
      <c r="D241" t="str">
        <f t="shared" si="7"/>
        <v>TO-s6-IMP</v>
      </c>
      <c r="E241" t="s">
        <v>434</v>
      </c>
      <c r="F241" t="s">
        <v>1236</v>
      </c>
      <c r="G241" t="s">
        <v>1237</v>
      </c>
      <c r="H241" t="s">
        <v>87</v>
      </c>
      <c r="I241" t="s">
        <v>1238</v>
      </c>
    </row>
    <row r="242" spans="1:9" x14ac:dyDescent="0.25">
      <c r="A242" t="s">
        <v>969</v>
      </c>
      <c r="B242">
        <v>7</v>
      </c>
      <c r="C242" t="s">
        <v>968</v>
      </c>
      <c r="D242" t="str">
        <f t="shared" si="7"/>
        <v>TO-s7-IMP</v>
      </c>
      <c r="E242" t="s">
        <v>430</v>
      </c>
      <c r="F242" t="s">
        <v>1239</v>
      </c>
      <c r="G242" t="s">
        <v>1240</v>
      </c>
      <c r="H242" t="s">
        <v>466</v>
      </c>
      <c r="I242" t="s">
        <v>561</v>
      </c>
    </row>
    <row r="243" spans="1:9" x14ac:dyDescent="0.25">
      <c r="A243" t="s">
        <v>969</v>
      </c>
      <c r="B243">
        <v>7</v>
      </c>
      <c r="C243" t="s">
        <v>968</v>
      </c>
      <c r="D243" t="str">
        <f t="shared" si="7"/>
        <v>TO-s7-IMP</v>
      </c>
      <c r="E243" t="s">
        <v>424</v>
      </c>
      <c r="F243" t="s">
        <v>1241</v>
      </c>
      <c r="G243" t="s">
        <v>1242</v>
      </c>
      <c r="H243" t="s">
        <v>564</v>
      </c>
      <c r="I243" t="s">
        <v>565</v>
      </c>
    </row>
    <row r="244" spans="1:9" x14ac:dyDescent="0.25">
      <c r="A244" t="s">
        <v>969</v>
      </c>
      <c r="B244">
        <v>7</v>
      </c>
      <c r="C244" t="s">
        <v>968</v>
      </c>
      <c r="D244" t="str">
        <f t="shared" si="7"/>
        <v>TO-s7-IMP</v>
      </c>
      <c r="E244" t="s">
        <v>431</v>
      </c>
      <c r="F244" t="s">
        <v>1243</v>
      </c>
      <c r="G244" t="s">
        <v>1244</v>
      </c>
      <c r="H244" t="s">
        <v>169</v>
      </c>
      <c r="I244" t="s">
        <v>568</v>
      </c>
    </row>
    <row r="245" spans="1:9" x14ac:dyDescent="0.25">
      <c r="A245" t="s">
        <v>969</v>
      </c>
      <c r="B245">
        <v>7</v>
      </c>
      <c r="C245" t="s">
        <v>968</v>
      </c>
      <c r="D245" t="str">
        <f t="shared" si="7"/>
        <v>TO-s7-IMP</v>
      </c>
      <c r="E245" t="s">
        <v>432</v>
      </c>
      <c r="F245" t="s">
        <v>1245</v>
      </c>
      <c r="G245" t="s">
        <v>1086</v>
      </c>
      <c r="H245" t="s">
        <v>427</v>
      </c>
      <c r="I245" t="s">
        <v>571</v>
      </c>
    </row>
    <row r="246" spans="1:9" x14ac:dyDescent="0.25">
      <c r="A246" t="s">
        <v>969</v>
      </c>
      <c r="B246">
        <v>7</v>
      </c>
      <c r="C246" t="s">
        <v>968</v>
      </c>
      <c r="D246" t="str">
        <f t="shared" si="7"/>
        <v>TO-s7-IMP</v>
      </c>
      <c r="E246" t="s">
        <v>433</v>
      </c>
      <c r="F246" t="s">
        <v>1246</v>
      </c>
      <c r="G246" t="s">
        <v>1247</v>
      </c>
      <c r="H246" t="s">
        <v>883</v>
      </c>
      <c r="I246" t="s">
        <v>574</v>
      </c>
    </row>
    <row r="247" spans="1:9" x14ac:dyDescent="0.25">
      <c r="A247" t="s">
        <v>969</v>
      </c>
      <c r="B247">
        <v>7</v>
      </c>
      <c r="C247" t="s">
        <v>968</v>
      </c>
      <c r="D247" t="str">
        <f t="shared" si="7"/>
        <v>TO-s7-IMP</v>
      </c>
      <c r="E247" t="s">
        <v>434</v>
      </c>
      <c r="F247" t="s">
        <v>1248</v>
      </c>
      <c r="G247" t="s">
        <v>1249</v>
      </c>
      <c r="H247" t="s">
        <v>481</v>
      </c>
      <c r="I247" t="s">
        <v>577</v>
      </c>
    </row>
    <row r="248" spans="1:9" x14ac:dyDescent="0.25">
      <c r="A248" t="s">
        <v>969</v>
      </c>
      <c r="B248">
        <v>8</v>
      </c>
      <c r="C248" t="s">
        <v>968</v>
      </c>
      <c r="D248" t="str">
        <f t="shared" si="7"/>
        <v>TO-s8-IMP</v>
      </c>
      <c r="E248" t="s">
        <v>430</v>
      </c>
      <c r="F248" t="s">
        <v>1250</v>
      </c>
      <c r="G248" t="s">
        <v>1224</v>
      </c>
      <c r="H248" t="s">
        <v>580</v>
      </c>
      <c r="I248" t="s">
        <v>581</v>
      </c>
    </row>
    <row r="249" spans="1:9" x14ac:dyDescent="0.25">
      <c r="A249" t="s">
        <v>969</v>
      </c>
      <c r="B249">
        <v>8</v>
      </c>
      <c r="C249" t="s">
        <v>968</v>
      </c>
      <c r="D249" t="str">
        <f t="shared" si="7"/>
        <v>TO-s8-IMP</v>
      </c>
      <c r="E249" t="s">
        <v>424</v>
      </c>
      <c r="F249" t="s">
        <v>1251</v>
      </c>
      <c r="G249" t="s">
        <v>1252</v>
      </c>
      <c r="H249" t="s">
        <v>481</v>
      </c>
      <c r="I249" t="s">
        <v>584</v>
      </c>
    </row>
    <row r="250" spans="1:9" x14ac:dyDescent="0.25">
      <c r="A250" t="s">
        <v>969</v>
      </c>
      <c r="B250">
        <v>8</v>
      </c>
      <c r="C250" t="s">
        <v>968</v>
      </c>
      <c r="D250" t="str">
        <f t="shared" si="7"/>
        <v>TO-s8-IMP</v>
      </c>
      <c r="E250" t="s">
        <v>431</v>
      </c>
      <c r="F250" t="s">
        <v>1253</v>
      </c>
      <c r="G250" t="s">
        <v>1254</v>
      </c>
      <c r="H250" t="s">
        <v>586</v>
      </c>
      <c r="I250" t="s">
        <v>587</v>
      </c>
    </row>
    <row r="251" spans="1:9" x14ac:dyDescent="0.25">
      <c r="A251" t="s">
        <v>969</v>
      </c>
      <c r="B251">
        <v>8</v>
      </c>
      <c r="C251" t="s">
        <v>968</v>
      </c>
      <c r="D251" t="str">
        <f t="shared" si="7"/>
        <v>TO-s8-IMP</v>
      </c>
      <c r="E251" t="s">
        <v>432</v>
      </c>
      <c r="F251" t="s">
        <v>1255</v>
      </c>
      <c r="G251" t="s">
        <v>1256</v>
      </c>
      <c r="H251" t="s">
        <v>861</v>
      </c>
      <c r="I251" t="s">
        <v>591</v>
      </c>
    </row>
    <row r="252" spans="1:9" x14ac:dyDescent="0.25">
      <c r="A252" t="s">
        <v>969</v>
      </c>
      <c r="B252">
        <v>8</v>
      </c>
      <c r="C252" t="s">
        <v>968</v>
      </c>
      <c r="D252" t="str">
        <f t="shared" si="7"/>
        <v>TO-s8-IMP</v>
      </c>
      <c r="E252" t="s">
        <v>433</v>
      </c>
      <c r="F252" t="s">
        <v>1257</v>
      </c>
      <c r="G252" t="s">
        <v>1258</v>
      </c>
      <c r="H252" t="s">
        <v>594</v>
      </c>
      <c r="I252" t="s">
        <v>595</v>
      </c>
    </row>
    <row r="253" spans="1:9" x14ac:dyDescent="0.25">
      <c r="A253" t="s">
        <v>969</v>
      </c>
      <c r="B253">
        <v>8</v>
      </c>
      <c r="C253" t="s">
        <v>968</v>
      </c>
      <c r="D253" t="str">
        <f t="shared" si="7"/>
        <v>TO-s8-IMP</v>
      </c>
      <c r="E253" t="s">
        <v>434</v>
      </c>
      <c r="F253" t="s">
        <v>1259</v>
      </c>
      <c r="G253" t="s">
        <v>692</v>
      </c>
      <c r="H253" t="s">
        <v>1260</v>
      </c>
      <c r="I253" t="s">
        <v>599</v>
      </c>
    </row>
    <row r="254" spans="1:9" x14ac:dyDescent="0.25">
      <c r="A254" t="s">
        <v>969</v>
      </c>
      <c r="B254">
        <v>9</v>
      </c>
      <c r="C254" t="s">
        <v>968</v>
      </c>
      <c r="D254" t="str">
        <f t="shared" si="7"/>
        <v>TO-s9-IMP</v>
      </c>
      <c r="E254" t="s">
        <v>430</v>
      </c>
      <c r="F254" t="s">
        <v>1261</v>
      </c>
      <c r="G254" t="s">
        <v>553</v>
      </c>
      <c r="H254" t="s">
        <v>602</v>
      </c>
      <c r="I254" t="s">
        <v>603</v>
      </c>
    </row>
    <row r="255" spans="1:9" x14ac:dyDescent="0.25">
      <c r="A255" t="s">
        <v>969</v>
      </c>
      <c r="B255">
        <v>9</v>
      </c>
      <c r="C255" t="s">
        <v>968</v>
      </c>
      <c r="D255" t="str">
        <f t="shared" si="7"/>
        <v>TO-s9-IMP</v>
      </c>
      <c r="E255" t="s">
        <v>424</v>
      </c>
      <c r="F255" t="s">
        <v>1262</v>
      </c>
      <c r="G255" t="s">
        <v>1263</v>
      </c>
      <c r="H255" t="s">
        <v>459</v>
      </c>
      <c r="I255" t="s">
        <v>606</v>
      </c>
    </row>
    <row r="256" spans="1:9" x14ac:dyDescent="0.25">
      <c r="A256" t="s">
        <v>969</v>
      </c>
      <c r="B256">
        <v>9</v>
      </c>
      <c r="C256" t="s">
        <v>968</v>
      </c>
      <c r="D256" t="str">
        <f t="shared" si="7"/>
        <v>TO-s9-IMP</v>
      </c>
      <c r="E256" t="s">
        <v>431</v>
      </c>
      <c r="F256" t="s">
        <v>1264</v>
      </c>
      <c r="G256" t="s">
        <v>1265</v>
      </c>
      <c r="H256" t="s">
        <v>120</v>
      </c>
      <c r="I256" t="s">
        <v>609</v>
      </c>
    </row>
    <row r="257" spans="1:9" x14ac:dyDescent="0.25">
      <c r="A257" t="s">
        <v>969</v>
      </c>
      <c r="B257">
        <v>9</v>
      </c>
      <c r="C257" t="s">
        <v>968</v>
      </c>
      <c r="D257" t="str">
        <f t="shared" si="7"/>
        <v>TO-s9-IMP</v>
      </c>
      <c r="E257" t="s">
        <v>432</v>
      </c>
      <c r="F257" t="s">
        <v>1266</v>
      </c>
      <c r="G257" t="s">
        <v>61</v>
      </c>
      <c r="H257" t="s">
        <v>466</v>
      </c>
      <c r="I257" t="s">
        <v>612</v>
      </c>
    </row>
    <row r="258" spans="1:9" x14ac:dyDescent="0.25">
      <c r="A258" t="s">
        <v>969</v>
      </c>
      <c r="B258">
        <v>9</v>
      </c>
      <c r="C258" t="s">
        <v>968</v>
      </c>
      <c r="D258" t="str">
        <f t="shared" si="7"/>
        <v>TO-s9-IMP</v>
      </c>
      <c r="E258" t="s">
        <v>433</v>
      </c>
      <c r="F258" t="s">
        <v>1267</v>
      </c>
      <c r="G258" t="s">
        <v>1268</v>
      </c>
      <c r="H258" t="s">
        <v>175</v>
      </c>
      <c r="I258" t="s">
        <v>615</v>
      </c>
    </row>
    <row r="259" spans="1:9" x14ac:dyDescent="0.25">
      <c r="A259" t="s">
        <v>969</v>
      </c>
      <c r="B259">
        <v>9</v>
      </c>
      <c r="C259" t="s">
        <v>968</v>
      </c>
      <c r="D259" t="str">
        <f t="shared" si="7"/>
        <v>TO-s9-IMP</v>
      </c>
      <c r="E259" t="s">
        <v>434</v>
      </c>
      <c r="F259" t="s">
        <v>1269</v>
      </c>
      <c r="G259" t="s">
        <v>1270</v>
      </c>
      <c r="H259" t="s">
        <v>618</v>
      </c>
      <c r="I259" t="s">
        <v>619</v>
      </c>
    </row>
    <row r="260" spans="1:9" x14ac:dyDescent="0.25">
      <c r="A260" t="s">
        <v>969</v>
      </c>
      <c r="B260">
        <v>10</v>
      </c>
      <c r="C260" t="s">
        <v>968</v>
      </c>
      <c r="D260" t="str">
        <f t="shared" si="7"/>
        <v>TO-s10-IMP</v>
      </c>
      <c r="E260" t="s">
        <v>430</v>
      </c>
      <c r="F260" t="s">
        <v>1271</v>
      </c>
      <c r="G260" t="s">
        <v>1272</v>
      </c>
      <c r="H260" t="s">
        <v>1273</v>
      </c>
      <c r="I260" t="s">
        <v>623</v>
      </c>
    </row>
    <row r="261" spans="1:9" x14ac:dyDescent="0.25">
      <c r="A261" t="s">
        <v>969</v>
      </c>
      <c r="B261">
        <v>10</v>
      </c>
      <c r="C261" t="s">
        <v>968</v>
      </c>
      <c r="D261" t="str">
        <f t="shared" si="7"/>
        <v>TO-s10-IMP</v>
      </c>
      <c r="E261" t="s">
        <v>424</v>
      </c>
      <c r="F261" t="s">
        <v>1274</v>
      </c>
      <c r="G261" t="s">
        <v>1275</v>
      </c>
      <c r="H261" t="s">
        <v>626</v>
      </c>
      <c r="I261" t="s">
        <v>1276</v>
      </c>
    </row>
    <row r="262" spans="1:9" x14ac:dyDescent="0.25">
      <c r="A262" t="s">
        <v>969</v>
      </c>
      <c r="B262">
        <v>10</v>
      </c>
      <c r="C262" t="s">
        <v>968</v>
      </c>
      <c r="D262" t="str">
        <f t="shared" si="7"/>
        <v>TO-s10-IMP</v>
      </c>
      <c r="E262" t="s">
        <v>431</v>
      </c>
      <c r="F262" t="s">
        <v>1277</v>
      </c>
      <c r="G262" t="s">
        <v>1278</v>
      </c>
      <c r="H262" t="s">
        <v>629</v>
      </c>
      <c r="I262" t="s">
        <v>630</v>
      </c>
    </row>
    <row r="263" spans="1:9" x14ac:dyDescent="0.25">
      <c r="A263" t="s">
        <v>969</v>
      </c>
      <c r="B263">
        <v>10</v>
      </c>
      <c r="C263" t="s">
        <v>968</v>
      </c>
      <c r="D263" t="str">
        <f t="shared" si="7"/>
        <v>TO-s10-IMP</v>
      </c>
      <c r="E263" t="s">
        <v>432</v>
      </c>
      <c r="F263" t="s">
        <v>1279</v>
      </c>
      <c r="G263" t="s">
        <v>821</v>
      </c>
      <c r="H263" t="s">
        <v>133</v>
      </c>
      <c r="I263" t="s">
        <v>633</v>
      </c>
    </row>
    <row r="264" spans="1:9" x14ac:dyDescent="0.25">
      <c r="A264" t="s">
        <v>969</v>
      </c>
      <c r="B264">
        <v>10</v>
      </c>
      <c r="C264" t="s">
        <v>968</v>
      </c>
      <c r="D264" t="str">
        <f t="shared" si="7"/>
        <v>TO-s10-IMP</v>
      </c>
      <c r="E264" t="s">
        <v>433</v>
      </c>
      <c r="F264" t="s">
        <v>1280</v>
      </c>
      <c r="G264" t="s">
        <v>1281</v>
      </c>
      <c r="H264" t="s">
        <v>1121</v>
      </c>
      <c r="I264" t="s">
        <v>637</v>
      </c>
    </row>
    <row r="265" spans="1:9" x14ac:dyDescent="0.25">
      <c r="A265" t="s">
        <v>969</v>
      </c>
      <c r="B265">
        <v>10</v>
      </c>
      <c r="C265" t="s">
        <v>968</v>
      </c>
      <c r="D265" t="str">
        <f t="shared" si="7"/>
        <v>TO-s10-IMP</v>
      </c>
      <c r="E265" t="s">
        <v>434</v>
      </c>
      <c r="F265" t="s">
        <v>1282</v>
      </c>
      <c r="G265" t="s">
        <v>573</v>
      </c>
      <c r="H265" t="s">
        <v>522</v>
      </c>
      <c r="I265" t="s">
        <v>641</v>
      </c>
    </row>
    <row r="266" spans="1:9" x14ac:dyDescent="0.25">
      <c r="A266" t="s">
        <v>969</v>
      </c>
      <c r="B266">
        <v>11</v>
      </c>
      <c r="C266" t="s">
        <v>968</v>
      </c>
      <c r="D266" t="str">
        <f t="shared" si="7"/>
        <v>TO-s11-IMP</v>
      </c>
      <c r="E266" t="s">
        <v>430</v>
      </c>
      <c r="F266" t="s">
        <v>1283</v>
      </c>
      <c r="G266" t="s">
        <v>1284</v>
      </c>
      <c r="H266" t="s">
        <v>488</v>
      </c>
      <c r="I266" t="s">
        <v>644</v>
      </c>
    </row>
    <row r="267" spans="1:9" x14ac:dyDescent="0.25">
      <c r="A267" t="s">
        <v>969</v>
      </c>
      <c r="B267">
        <v>11</v>
      </c>
      <c r="C267" t="s">
        <v>968</v>
      </c>
      <c r="D267" t="str">
        <f t="shared" si="7"/>
        <v>TO-s11-IMP</v>
      </c>
      <c r="E267" t="s">
        <v>424</v>
      </c>
      <c r="F267" t="s">
        <v>1285</v>
      </c>
      <c r="G267" t="s">
        <v>1286</v>
      </c>
      <c r="H267" t="s">
        <v>133</v>
      </c>
      <c r="I267" t="s">
        <v>647</v>
      </c>
    </row>
    <row r="268" spans="1:9" x14ac:dyDescent="0.25">
      <c r="A268" t="s">
        <v>969</v>
      </c>
      <c r="B268">
        <v>11</v>
      </c>
      <c r="C268" t="s">
        <v>968</v>
      </c>
      <c r="D268" t="str">
        <f t="shared" si="7"/>
        <v>TO-s11-IMP</v>
      </c>
      <c r="E268" t="s">
        <v>431</v>
      </c>
      <c r="F268" t="s">
        <v>1287</v>
      </c>
      <c r="G268" t="s">
        <v>1288</v>
      </c>
      <c r="H268" t="s">
        <v>175</v>
      </c>
      <c r="I268" t="s">
        <v>650</v>
      </c>
    </row>
    <row r="269" spans="1:9" x14ac:dyDescent="0.25">
      <c r="A269" t="s">
        <v>969</v>
      </c>
      <c r="B269">
        <v>11</v>
      </c>
      <c r="C269" t="s">
        <v>968</v>
      </c>
      <c r="D269" t="str">
        <f t="shared" si="7"/>
        <v>TO-s11-IMP</v>
      </c>
      <c r="E269" t="s">
        <v>432</v>
      </c>
      <c r="F269" t="s">
        <v>1289</v>
      </c>
      <c r="G269" t="s">
        <v>1290</v>
      </c>
      <c r="H269" t="s">
        <v>954</v>
      </c>
      <c r="I269" t="s">
        <v>654</v>
      </c>
    </row>
    <row r="270" spans="1:9" x14ac:dyDescent="0.25">
      <c r="A270" t="s">
        <v>969</v>
      </c>
      <c r="B270">
        <v>11</v>
      </c>
      <c r="C270" t="s">
        <v>968</v>
      </c>
      <c r="D270" t="str">
        <f t="shared" si="7"/>
        <v>TO-s11-IMP</v>
      </c>
      <c r="E270" t="s">
        <v>433</v>
      </c>
      <c r="F270" t="s">
        <v>1291</v>
      </c>
      <c r="G270" t="s">
        <v>549</v>
      </c>
      <c r="H270" t="s">
        <v>618</v>
      </c>
      <c r="I270" t="s">
        <v>657</v>
      </c>
    </row>
    <row r="271" spans="1:9" x14ac:dyDescent="0.25">
      <c r="A271" t="s">
        <v>969</v>
      </c>
      <c r="B271">
        <v>11</v>
      </c>
      <c r="C271" t="s">
        <v>968</v>
      </c>
      <c r="D271" t="str">
        <f t="shared" si="7"/>
        <v>TO-s11-IMP</v>
      </c>
      <c r="E271" t="s">
        <v>434</v>
      </c>
      <c r="F271" t="s">
        <v>1292</v>
      </c>
      <c r="G271" t="s">
        <v>1293</v>
      </c>
      <c r="H271" t="s">
        <v>580</v>
      </c>
      <c r="I271" t="s">
        <v>389</v>
      </c>
    </row>
    <row r="272" spans="1:9" x14ac:dyDescent="0.25">
      <c r="A272" t="s">
        <v>969</v>
      </c>
      <c r="B272">
        <v>12</v>
      </c>
      <c r="C272" t="s">
        <v>968</v>
      </c>
      <c r="D272" t="str">
        <f t="shared" si="7"/>
        <v>TO-s12-IMP</v>
      </c>
      <c r="E272" t="s">
        <v>430</v>
      </c>
      <c r="F272" t="s">
        <v>1294</v>
      </c>
      <c r="G272" t="s">
        <v>1295</v>
      </c>
      <c r="H272" t="s">
        <v>455</v>
      </c>
      <c r="I272" t="s">
        <v>662</v>
      </c>
    </row>
    <row r="273" spans="1:9" x14ac:dyDescent="0.25">
      <c r="A273" t="s">
        <v>969</v>
      </c>
      <c r="B273">
        <v>12</v>
      </c>
      <c r="C273" t="s">
        <v>968</v>
      </c>
      <c r="D273" t="str">
        <f t="shared" si="7"/>
        <v>TO-s12-IMP</v>
      </c>
      <c r="E273" t="s">
        <v>424</v>
      </c>
      <c r="F273" t="s">
        <v>1296</v>
      </c>
      <c r="G273" t="s">
        <v>1297</v>
      </c>
      <c r="H273" t="s">
        <v>861</v>
      </c>
      <c r="I273" t="s">
        <v>665</v>
      </c>
    </row>
    <row r="274" spans="1:9" x14ac:dyDescent="0.25">
      <c r="A274" t="s">
        <v>969</v>
      </c>
      <c r="B274">
        <v>12</v>
      </c>
      <c r="C274" t="s">
        <v>968</v>
      </c>
      <c r="D274" t="str">
        <f t="shared" si="7"/>
        <v>TO-s12-IMP</v>
      </c>
      <c r="E274" t="s">
        <v>431</v>
      </c>
      <c r="F274" t="s">
        <v>1298</v>
      </c>
      <c r="G274" t="s">
        <v>1175</v>
      </c>
      <c r="H274" t="s">
        <v>1299</v>
      </c>
      <c r="I274" t="s">
        <v>669</v>
      </c>
    </row>
    <row r="275" spans="1:9" x14ac:dyDescent="0.25">
      <c r="A275" t="s">
        <v>969</v>
      </c>
      <c r="B275">
        <v>12</v>
      </c>
      <c r="C275" t="s">
        <v>968</v>
      </c>
      <c r="D275" t="str">
        <f t="shared" si="7"/>
        <v>TO-s12-IMP</v>
      </c>
      <c r="E275" t="s">
        <v>432</v>
      </c>
      <c r="F275" t="s">
        <v>1300</v>
      </c>
      <c r="G275" t="s">
        <v>1301</v>
      </c>
      <c r="H275" t="s">
        <v>175</v>
      </c>
      <c r="I275" t="s">
        <v>672</v>
      </c>
    </row>
    <row r="276" spans="1:9" x14ac:dyDescent="0.25">
      <c r="A276" t="s">
        <v>969</v>
      </c>
      <c r="B276">
        <v>12</v>
      </c>
      <c r="C276" t="s">
        <v>968</v>
      </c>
      <c r="D276" t="str">
        <f t="shared" ref="D276:D325" si="8">_xlfn.CONCAT(A276,"-s",B276,"-",C276)</f>
        <v>TO-s12-IMP</v>
      </c>
      <c r="E276" t="s">
        <v>433</v>
      </c>
      <c r="F276" t="s">
        <v>1302</v>
      </c>
      <c r="G276" t="s">
        <v>61</v>
      </c>
      <c r="H276" t="s">
        <v>502</v>
      </c>
      <c r="I276" t="s">
        <v>675</v>
      </c>
    </row>
    <row r="277" spans="1:9" x14ac:dyDescent="0.25">
      <c r="A277" t="s">
        <v>969</v>
      </c>
      <c r="B277">
        <v>12</v>
      </c>
      <c r="C277" t="s">
        <v>968</v>
      </c>
      <c r="D277" t="str">
        <f t="shared" si="8"/>
        <v>TO-s12-IMP</v>
      </c>
      <c r="E277" t="s">
        <v>434</v>
      </c>
      <c r="F277" t="s">
        <v>1303</v>
      </c>
      <c r="G277" t="s">
        <v>1304</v>
      </c>
      <c r="H277" t="s">
        <v>502</v>
      </c>
      <c r="I277" t="s">
        <v>678</v>
      </c>
    </row>
    <row r="278" spans="1:9" x14ac:dyDescent="0.25">
      <c r="A278" t="s">
        <v>969</v>
      </c>
      <c r="B278">
        <v>13</v>
      </c>
      <c r="C278" t="s">
        <v>968</v>
      </c>
      <c r="D278" t="str">
        <f t="shared" si="8"/>
        <v>TO-s13-IMP</v>
      </c>
      <c r="E278" t="s">
        <v>430</v>
      </c>
      <c r="F278" t="s">
        <v>1305</v>
      </c>
      <c r="G278" t="s">
        <v>1306</v>
      </c>
      <c r="H278" t="s">
        <v>1307</v>
      </c>
      <c r="I278" t="s">
        <v>682</v>
      </c>
    </row>
    <row r="279" spans="1:9" x14ac:dyDescent="0.25">
      <c r="A279" t="s">
        <v>969</v>
      </c>
      <c r="B279">
        <v>13</v>
      </c>
      <c r="C279" t="s">
        <v>968</v>
      </c>
      <c r="D279" t="str">
        <f t="shared" si="8"/>
        <v>TO-s13-IMP</v>
      </c>
      <c r="E279" t="s">
        <v>424</v>
      </c>
      <c r="F279" t="s">
        <v>1308</v>
      </c>
      <c r="G279" t="s">
        <v>1309</v>
      </c>
      <c r="H279" t="s">
        <v>685</v>
      </c>
      <c r="I279" t="s">
        <v>686</v>
      </c>
    </row>
    <row r="280" spans="1:9" x14ac:dyDescent="0.25">
      <c r="A280" t="s">
        <v>969</v>
      </c>
      <c r="B280">
        <v>13</v>
      </c>
      <c r="C280" t="s">
        <v>968</v>
      </c>
      <c r="D280" t="str">
        <f t="shared" si="8"/>
        <v>TO-s13-IMP</v>
      </c>
      <c r="E280" t="s">
        <v>431</v>
      </c>
      <c r="F280" t="s">
        <v>1310</v>
      </c>
      <c r="G280" t="s">
        <v>1311</v>
      </c>
      <c r="H280" t="s">
        <v>689</v>
      </c>
      <c r="I280" t="s">
        <v>690</v>
      </c>
    </row>
    <row r="281" spans="1:9" x14ac:dyDescent="0.25">
      <c r="A281" t="s">
        <v>969</v>
      </c>
      <c r="B281">
        <v>13</v>
      </c>
      <c r="C281" t="s">
        <v>968</v>
      </c>
      <c r="D281" t="str">
        <f t="shared" si="8"/>
        <v>TO-s13-IMP</v>
      </c>
      <c r="E281" t="s">
        <v>432</v>
      </c>
      <c r="F281" t="s">
        <v>1312</v>
      </c>
      <c r="G281" t="s">
        <v>1313</v>
      </c>
      <c r="H281" t="s">
        <v>470</v>
      </c>
      <c r="I281" t="s">
        <v>693</v>
      </c>
    </row>
    <row r="282" spans="1:9" x14ac:dyDescent="0.25">
      <c r="A282" t="s">
        <v>969</v>
      </c>
      <c r="B282">
        <v>13</v>
      </c>
      <c r="C282" t="s">
        <v>968</v>
      </c>
      <c r="D282" t="str">
        <f t="shared" si="8"/>
        <v>TO-s13-IMP</v>
      </c>
      <c r="E282" t="s">
        <v>433</v>
      </c>
      <c r="F282" s="5" t="s">
        <v>1314</v>
      </c>
      <c r="G282" t="s">
        <v>1301</v>
      </c>
      <c r="H282" t="s">
        <v>696</v>
      </c>
      <c r="I282" t="s">
        <v>391</v>
      </c>
    </row>
    <row r="283" spans="1:9" x14ac:dyDescent="0.25">
      <c r="A283" t="s">
        <v>969</v>
      </c>
      <c r="B283">
        <v>13</v>
      </c>
      <c r="C283" t="s">
        <v>968</v>
      </c>
      <c r="D283" t="str">
        <f t="shared" si="8"/>
        <v>TO-s13-IMP</v>
      </c>
      <c r="E283" t="s">
        <v>434</v>
      </c>
      <c r="F283" t="s">
        <v>1315</v>
      </c>
      <c r="G283" t="s">
        <v>1316</v>
      </c>
      <c r="H283" t="s">
        <v>438</v>
      </c>
      <c r="I283" t="s">
        <v>699</v>
      </c>
    </row>
    <row r="284" spans="1:9" x14ac:dyDescent="0.25">
      <c r="A284" t="s">
        <v>969</v>
      </c>
      <c r="B284">
        <v>14</v>
      </c>
      <c r="C284" t="s">
        <v>968</v>
      </c>
      <c r="D284" t="str">
        <f t="shared" si="8"/>
        <v>TO-s14-IMP</v>
      </c>
      <c r="E284" t="s">
        <v>430</v>
      </c>
      <c r="F284" t="s">
        <v>1317</v>
      </c>
      <c r="G284" t="s">
        <v>1318</v>
      </c>
      <c r="H284" t="s">
        <v>466</v>
      </c>
      <c r="I284" t="s">
        <v>702</v>
      </c>
    </row>
    <row r="285" spans="1:9" x14ac:dyDescent="0.25">
      <c r="A285" t="s">
        <v>969</v>
      </c>
      <c r="B285">
        <v>14</v>
      </c>
      <c r="C285" t="s">
        <v>968</v>
      </c>
      <c r="D285" t="str">
        <f t="shared" si="8"/>
        <v>TO-s14-IMP</v>
      </c>
      <c r="E285" t="s">
        <v>424</v>
      </c>
      <c r="F285" t="s">
        <v>1319</v>
      </c>
      <c r="G285" t="s">
        <v>1320</v>
      </c>
      <c r="H285" t="s">
        <v>163</v>
      </c>
      <c r="I285" t="s">
        <v>705</v>
      </c>
    </row>
    <row r="286" spans="1:9" x14ac:dyDescent="0.25">
      <c r="A286" t="s">
        <v>969</v>
      </c>
      <c r="B286">
        <v>14</v>
      </c>
      <c r="C286" t="s">
        <v>968</v>
      </c>
      <c r="D286" t="str">
        <f t="shared" si="8"/>
        <v>TO-s14-IMP</v>
      </c>
      <c r="E286" t="s">
        <v>431</v>
      </c>
      <c r="F286" t="s">
        <v>1321</v>
      </c>
      <c r="G286" t="s">
        <v>1322</v>
      </c>
      <c r="H286" t="s">
        <v>422</v>
      </c>
      <c r="I286" t="s">
        <v>708</v>
      </c>
    </row>
    <row r="287" spans="1:9" x14ac:dyDescent="0.25">
      <c r="A287" t="s">
        <v>969</v>
      </c>
      <c r="B287">
        <v>14</v>
      </c>
      <c r="C287" t="s">
        <v>968</v>
      </c>
      <c r="D287" t="str">
        <f t="shared" si="8"/>
        <v>TO-s14-IMP</v>
      </c>
      <c r="E287" t="s">
        <v>432</v>
      </c>
      <c r="F287" t="s">
        <v>1323</v>
      </c>
      <c r="G287" t="s">
        <v>1324</v>
      </c>
      <c r="H287" t="s">
        <v>422</v>
      </c>
      <c r="I287" t="s">
        <v>711</v>
      </c>
    </row>
    <row r="288" spans="1:9" x14ac:dyDescent="0.25">
      <c r="A288" t="s">
        <v>969</v>
      </c>
      <c r="B288">
        <v>14</v>
      </c>
      <c r="C288" t="s">
        <v>968</v>
      </c>
      <c r="D288" t="str">
        <f t="shared" si="8"/>
        <v>TO-s14-IMP</v>
      </c>
      <c r="E288" t="s">
        <v>433</v>
      </c>
      <c r="F288" t="s">
        <v>1325</v>
      </c>
      <c r="G288" t="s">
        <v>1326</v>
      </c>
      <c r="H288" t="s">
        <v>1327</v>
      </c>
      <c r="I288" t="s">
        <v>715</v>
      </c>
    </row>
    <row r="289" spans="1:9" x14ac:dyDescent="0.25">
      <c r="A289" t="s">
        <v>969</v>
      </c>
      <c r="B289">
        <v>14</v>
      </c>
      <c r="C289" t="s">
        <v>968</v>
      </c>
      <c r="D289" t="str">
        <f t="shared" si="8"/>
        <v>TO-s14-IMP</v>
      </c>
      <c r="E289" t="s">
        <v>434</v>
      </c>
      <c r="F289" t="s">
        <v>1328</v>
      </c>
      <c r="G289" t="s">
        <v>1329</v>
      </c>
      <c r="H289" t="s">
        <v>718</v>
      </c>
      <c r="I289" t="s">
        <v>719</v>
      </c>
    </row>
    <row r="290" spans="1:9" x14ac:dyDescent="0.25">
      <c r="A290" t="s">
        <v>969</v>
      </c>
      <c r="B290">
        <v>15</v>
      </c>
      <c r="C290" t="s">
        <v>968</v>
      </c>
      <c r="D290" t="str">
        <f t="shared" si="8"/>
        <v>TO-s15-IMP</v>
      </c>
      <c r="E290" t="s">
        <v>430</v>
      </c>
      <c r="F290" t="s">
        <v>1330</v>
      </c>
      <c r="G290" t="s">
        <v>1331</v>
      </c>
      <c r="H290" t="s">
        <v>721</v>
      </c>
      <c r="I290" t="s">
        <v>722</v>
      </c>
    </row>
    <row r="291" spans="1:9" x14ac:dyDescent="0.25">
      <c r="A291" t="s">
        <v>969</v>
      </c>
      <c r="B291">
        <v>15</v>
      </c>
      <c r="C291" t="s">
        <v>968</v>
      </c>
      <c r="D291" t="str">
        <f t="shared" si="8"/>
        <v>TO-s15-IMP</v>
      </c>
      <c r="E291" t="s">
        <v>424</v>
      </c>
      <c r="F291" t="s">
        <v>1332</v>
      </c>
      <c r="G291" t="s">
        <v>1333</v>
      </c>
      <c r="H291" t="s">
        <v>939</v>
      </c>
      <c r="I291" t="s">
        <v>725</v>
      </c>
    </row>
    <row r="292" spans="1:9" x14ac:dyDescent="0.25">
      <c r="A292" t="s">
        <v>969</v>
      </c>
      <c r="B292">
        <v>15</v>
      </c>
      <c r="C292" t="s">
        <v>968</v>
      </c>
      <c r="D292" t="str">
        <f t="shared" si="8"/>
        <v>TO-s15-IMP</v>
      </c>
      <c r="E292" t="s">
        <v>431</v>
      </c>
      <c r="F292" t="s">
        <v>1334</v>
      </c>
      <c r="G292" t="s">
        <v>1335</v>
      </c>
      <c r="H292" t="s">
        <v>481</v>
      </c>
      <c r="I292" t="s">
        <v>728</v>
      </c>
    </row>
    <row r="293" spans="1:9" x14ac:dyDescent="0.25">
      <c r="A293" t="s">
        <v>969</v>
      </c>
      <c r="B293">
        <v>15</v>
      </c>
      <c r="C293" t="s">
        <v>968</v>
      </c>
      <c r="D293" t="str">
        <f t="shared" si="8"/>
        <v>TO-s15-IMP</v>
      </c>
      <c r="E293" t="s">
        <v>432</v>
      </c>
      <c r="F293" t="s">
        <v>1336</v>
      </c>
      <c r="G293" t="s">
        <v>1337</v>
      </c>
      <c r="H293" t="s">
        <v>696</v>
      </c>
      <c r="I293" t="s">
        <v>731</v>
      </c>
    </row>
    <row r="294" spans="1:9" x14ac:dyDescent="0.25">
      <c r="A294" t="s">
        <v>969</v>
      </c>
      <c r="B294">
        <v>15</v>
      </c>
      <c r="C294" t="s">
        <v>968</v>
      </c>
      <c r="D294" t="str">
        <f t="shared" si="8"/>
        <v>TO-s15-IMP</v>
      </c>
      <c r="E294" t="s">
        <v>433</v>
      </c>
      <c r="F294" t="s">
        <v>1338</v>
      </c>
      <c r="G294" t="s">
        <v>131</v>
      </c>
      <c r="H294" t="s">
        <v>438</v>
      </c>
      <c r="I294" t="s">
        <v>734</v>
      </c>
    </row>
    <row r="295" spans="1:9" x14ac:dyDescent="0.25">
      <c r="A295" t="s">
        <v>969</v>
      </c>
      <c r="B295">
        <v>15</v>
      </c>
      <c r="C295" t="s">
        <v>968</v>
      </c>
      <c r="D295" t="str">
        <f t="shared" si="8"/>
        <v>TO-s15-IMP</v>
      </c>
      <c r="E295" t="s">
        <v>434</v>
      </c>
      <c r="F295" t="s">
        <v>1339</v>
      </c>
      <c r="G295" t="s">
        <v>1340</v>
      </c>
      <c r="H295" t="s">
        <v>470</v>
      </c>
      <c r="I295" t="s">
        <v>737</v>
      </c>
    </row>
    <row r="296" spans="1:9" x14ac:dyDescent="0.25">
      <c r="A296" t="s">
        <v>969</v>
      </c>
      <c r="B296">
        <v>16</v>
      </c>
      <c r="C296" t="s">
        <v>968</v>
      </c>
      <c r="D296" t="str">
        <f t="shared" si="8"/>
        <v>TO-s16-IMP</v>
      </c>
      <c r="E296" t="s">
        <v>430</v>
      </c>
      <c r="F296" t="s">
        <v>1341</v>
      </c>
      <c r="G296" t="s">
        <v>1342</v>
      </c>
      <c r="H296" t="s">
        <v>939</v>
      </c>
      <c r="I296" t="s">
        <v>740</v>
      </c>
    </row>
    <row r="297" spans="1:9" x14ac:dyDescent="0.25">
      <c r="A297" t="s">
        <v>969</v>
      </c>
      <c r="B297">
        <v>16</v>
      </c>
      <c r="C297" t="s">
        <v>968</v>
      </c>
      <c r="D297" t="str">
        <f t="shared" si="8"/>
        <v>TO-s16-IMP</v>
      </c>
      <c r="E297" t="s">
        <v>424</v>
      </c>
      <c r="F297" t="s">
        <v>1343</v>
      </c>
      <c r="G297" t="s">
        <v>1344</v>
      </c>
      <c r="H297" t="s">
        <v>175</v>
      </c>
      <c r="I297" t="s">
        <v>743</v>
      </c>
    </row>
    <row r="298" spans="1:9" x14ac:dyDescent="0.25">
      <c r="A298" t="s">
        <v>969</v>
      </c>
      <c r="B298">
        <v>16</v>
      </c>
      <c r="C298" t="s">
        <v>968</v>
      </c>
      <c r="D298" t="str">
        <f t="shared" si="8"/>
        <v>TO-s16-IMP</v>
      </c>
      <c r="E298" t="s">
        <v>431</v>
      </c>
      <c r="F298" t="s">
        <v>1345</v>
      </c>
      <c r="G298" t="s">
        <v>1346</v>
      </c>
      <c r="H298" t="s">
        <v>291</v>
      </c>
      <c r="I298" t="s">
        <v>396</v>
      </c>
    </row>
    <row r="299" spans="1:9" x14ac:dyDescent="0.25">
      <c r="A299" t="s">
        <v>969</v>
      </c>
      <c r="B299">
        <v>16</v>
      </c>
      <c r="C299" t="s">
        <v>968</v>
      </c>
      <c r="D299" t="str">
        <f t="shared" si="8"/>
        <v>TO-s16-IMP</v>
      </c>
      <c r="E299" t="s">
        <v>432</v>
      </c>
      <c r="F299" t="s">
        <v>1347</v>
      </c>
      <c r="G299" t="s">
        <v>203</v>
      </c>
      <c r="H299" t="s">
        <v>481</v>
      </c>
      <c r="I299" t="s">
        <v>748</v>
      </c>
    </row>
    <row r="300" spans="1:9" x14ac:dyDescent="0.25">
      <c r="A300" t="s">
        <v>969</v>
      </c>
      <c r="B300">
        <v>16</v>
      </c>
      <c r="C300" t="s">
        <v>968</v>
      </c>
      <c r="D300" t="str">
        <f t="shared" si="8"/>
        <v>TO-s16-IMP</v>
      </c>
      <c r="E300" t="s">
        <v>433</v>
      </c>
      <c r="F300" t="s">
        <v>1348</v>
      </c>
      <c r="G300" t="s">
        <v>1349</v>
      </c>
      <c r="H300" t="s">
        <v>512</v>
      </c>
      <c r="I300" t="s">
        <v>751</v>
      </c>
    </row>
    <row r="301" spans="1:9" x14ac:dyDescent="0.25">
      <c r="A301" t="s">
        <v>969</v>
      </c>
      <c r="B301">
        <v>16</v>
      </c>
      <c r="C301" t="s">
        <v>968</v>
      </c>
      <c r="D301" t="str">
        <f t="shared" si="8"/>
        <v>TO-s16-IMP</v>
      </c>
      <c r="E301" t="s">
        <v>434</v>
      </c>
      <c r="F301" t="s">
        <v>1350</v>
      </c>
      <c r="G301" t="s">
        <v>1351</v>
      </c>
      <c r="H301" t="s">
        <v>1222</v>
      </c>
      <c r="I301" t="s">
        <v>398</v>
      </c>
    </row>
    <row r="302" spans="1:9" x14ac:dyDescent="0.25">
      <c r="A302" t="s">
        <v>969</v>
      </c>
      <c r="B302">
        <v>17</v>
      </c>
      <c r="C302" t="s">
        <v>968</v>
      </c>
      <c r="D302" t="str">
        <f t="shared" si="8"/>
        <v>TO-s17-IMP</v>
      </c>
      <c r="E302" t="s">
        <v>430</v>
      </c>
      <c r="F302" t="s">
        <v>1352</v>
      </c>
      <c r="G302" t="s">
        <v>1353</v>
      </c>
      <c r="H302" t="s">
        <v>689</v>
      </c>
      <c r="I302" t="s">
        <v>756</v>
      </c>
    </row>
    <row r="303" spans="1:9" x14ac:dyDescent="0.25">
      <c r="A303" t="s">
        <v>969</v>
      </c>
      <c r="B303">
        <v>17</v>
      </c>
      <c r="C303" t="s">
        <v>968</v>
      </c>
      <c r="D303" t="str">
        <f t="shared" si="8"/>
        <v>TO-s17-IMP</v>
      </c>
      <c r="E303" t="s">
        <v>424</v>
      </c>
      <c r="F303" t="s">
        <v>1354</v>
      </c>
      <c r="G303" t="s">
        <v>1355</v>
      </c>
      <c r="H303" t="s">
        <v>291</v>
      </c>
      <c r="I303" t="s">
        <v>759</v>
      </c>
    </row>
    <row r="304" spans="1:9" x14ac:dyDescent="0.25">
      <c r="A304" t="s">
        <v>969</v>
      </c>
      <c r="B304">
        <v>17</v>
      </c>
      <c r="C304" t="s">
        <v>968</v>
      </c>
      <c r="D304" t="str">
        <f t="shared" si="8"/>
        <v>TO-s17-IMP</v>
      </c>
      <c r="E304" t="s">
        <v>431</v>
      </c>
      <c r="F304" t="s">
        <v>1356</v>
      </c>
      <c r="G304" t="s">
        <v>1357</v>
      </c>
      <c r="H304" t="s">
        <v>554</v>
      </c>
      <c r="I304" t="s">
        <v>400</v>
      </c>
    </row>
    <row r="305" spans="1:9" x14ac:dyDescent="0.25">
      <c r="A305" t="s">
        <v>969</v>
      </c>
      <c r="B305">
        <v>17</v>
      </c>
      <c r="C305" t="s">
        <v>968</v>
      </c>
      <c r="D305" t="str">
        <f t="shared" si="8"/>
        <v>TO-s17-IMP</v>
      </c>
      <c r="E305" t="s">
        <v>432</v>
      </c>
      <c r="F305" t="s">
        <v>1358</v>
      </c>
      <c r="G305" t="s">
        <v>1359</v>
      </c>
      <c r="H305" t="s">
        <v>958</v>
      </c>
      <c r="I305" t="s">
        <v>765</v>
      </c>
    </row>
    <row r="306" spans="1:9" x14ac:dyDescent="0.25">
      <c r="A306" t="s">
        <v>969</v>
      </c>
      <c r="B306">
        <v>17</v>
      </c>
      <c r="C306" t="s">
        <v>968</v>
      </c>
      <c r="D306" t="str">
        <f t="shared" si="8"/>
        <v>TO-s17-IMP</v>
      </c>
      <c r="E306" t="s">
        <v>433</v>
      </c>
      <c r="F306" t="s">
        <v>1360</v>
      </c>
      <c r="G306" t="s">
        <v>1361</v>
      </c>
      <c r="H306" t="s">
        <v>768</v>
      </c>
      <c r="I306" t="s">
        <v>769</v>
      </c>
    </row>
    <row r="307" spans="1:9" x14ac:dyDescent="0.25">
      <c r="A307" t="s">
        <v>969</v>
      </c>
      <c r="B307">
        <v>17</v>
      </c>
      <c r="C307" t="s">
        <v>968</v>
      </c>
      <c r="D307" t="str">
        <f t="shared" si="8"/>
        <v>TO-s17-IMP</v>
      </c>
      <c r="E307" t="s">
        <v>434</v>
      </c>
      <c r="F307" t="s">
        <v>1362</v>
      </c>
      <c r="G307" t="s">
        <v>1363</v>
      </c>
      <c r="H307" t="s">
        <v>772</v>
      </c>
      <c r="I307" t="s">
        <v>773</v>
      </c>
    </row>
    <row r="308" spans="1:9" x14ac:dyDescent="0.25">
      <c r="A308" t="s">
        <v>969</v>
      </c>
      <c r="B308">
        <v>18</v>
      </c>
      <c r="C308" t="s">
        <v>968</v>
      </c>
      <c r="D308" t="str">
        <f t="shared" si="8"/>
        <v>TO-s18-IMP</v>
      </c>
      <c r="E308" t="s">
        <v>430</v>
      </c>
      <c r="F308" t="s">
        <v>1364</v>
      </c>
      <c r="G308" t="s">
        <v>1365</v>
      </c>
      <c r="H308" t="s">
        <v>537</v>
      </c>
      <c r="I308" t="s">
        <v>401</v>
      </c>
    </row>
    <row r="309" spans="1:9" x14ac:dyDescent="0.25">
      <c r="A309" t="s">
        <v>969</v>
      </c>
      <c r="B309">
        <v>18</v>
      </c>
      <c r="C309" t="s">
        <v>968</v>
      </c>
      <c r="D309" t="str">
        <f t="shared" si="8"/>
        <v>TO-s18-IMP</v>
      </c>
      <c r="E309" t="s">
        <v>424</v>
      </c>
      <c r="F309" t="s">
        <v>1366</v>
      </c>
      <c r="G309" t="s">
        <v>1367</v>
      </c>
      <c r="H309" t="s">
        <v>778</v>
      </c>
      <c r="I309" t="s">
        <v>779</v>
      </c>
    </row>
    <row r="310" spans="1:9" x14ac:dyDescent="0.25">
      <c r="A310" t="s">
        <v>969</v>
      </c>
      <c r="B310">
        <v>18</v>
      </c>
      <c r="C310" t="s">
        <v>968</v>
      </c>
      <c r="D310" t="str">
        <f t="shared" si="8"/>
        <v>TO-s18-IMP</v>
      </c>
      <c r="E310" t="s">
        <v>431</v>
      </c>
      <c r="F310" t="s">
        <v>1368</v>
      </c>
      <c r="G310" t="s">
        <v>1369</v>
      </c>
      <c r="H310" t="s">
        <v>446</v>
      </c>
      <c r="I310" t="s">
        <v>419</v>
      </c>
    </row>
    <row r="311" spans="1:9" x14ac:dyDescent="0.25">
      <c r="A311" t="s">
        <v>969</v>
      </c>
      <c r="B311">
        <v>18</v>
      </c>
      <c r="C311" t="s">
        <v>968</v>
      </c>
      <c r="D311" t="str">
        <f t="shared" si="8"/>
        <v>TO-s18-IMP</v>
      </c>
      <c r="E311" t="s">
        <v>432</v>
      </c>
      <c r="F311" t="s">
        <v>1370</v>
      </c>
      <c r="G311" t="s">
        <v>1371</v>
      </c>
      <c r="H311" t="s">
        <v>784</v>
      </c>
      <c r="I311" t="s">
        <v>785</v>
      </c>
    </row>
    <row r="312" spans="1:9" x14ac:dyDescent="0.25">
      <c r="A312" t="s">
        <v>969</v>
      </c>
      <c r="B312">
        <v>18</v>
      </c>
      <c r="C312" t="s">
        <v>968</v>
      </c>
      <c r="D312" t="str">
        <f t="shared" si="8"/>
        <v>TO-s18-IMP</v>
      </c>
      <c r="E312" t="s">
        <v>433</v>
      </c>
      <c r="F312" t="s">
        <v>1372</v>
      </c>
      <c r="G312" t="s">
        <v>1373</v>
      </c>
      <c r="H312" t="s">
        <v>772</v>
      </c>
      <c r="I312" t="s">
        <v>1374</v>
      </c>
    </row>
    <row r="313" spans="1:9" x14ac:dyDescent="0.25">
      <c r="A313" t="s">
        <v>969</v>
      </c>
      <c r="B313">
        <v>18</v>
      </c>
      <c r="C313" t="s">
        <v>968</v>
      </c>
      <c r="D313" t="str">
        <f t="shared" si="8"/>
        <v>TO-s18-IMP</v>
      </c>
      <c r="E313" t="s">
        <v>434</v>
      </c>
      <c r="F313" t="s">
        <v>1375</v>
      </c>
      <c r="G313" t="s">
        <v>1376</v>
      </c>
      <c r="H313" t="s">
        <v>466</v>
      </c>
      <c r="I313" t="s">
        <v>791</v>
      </c>
    </row>
    <row r="314" spans="1:9" x14ac:dyDescent="0.25">
      <c r="A314" t="s">
        <v>969</v>
      </c>
      <c r="B314">
        <v>19</v>
      </c>
      <c r="C314" t="s">
        <v>968</v>
      </c>
      <c r="D314" t="str">
        <f t="shared" si="8"/>
        <v>TO-s19-IMP</v>
      </c>
      <c r="E314" t="s">
        <v>430</v>
      </c>
      <c r="F314" t="s">
        <v>1377</v>
      </c>
      <c r="G314" t="s">
        <v>74</v>
      </c>
      <c r="H314" t="s">
        <v>794</v>
      </c>
      <c r="I314" t="s">
        <v>795</v>
      </c>
    </row>
    <row r="315" spans="1:9" x14ac:dyDescent="0.25">
      <c r="A315" t="s">
        <v>969</v>
      </c>
      <c r="B315">
        <v>19</v>
      </c>
      <c r="C315" t="s">
        <v>968</v>
      </c>
      <c r="D315" t="str">
        <f t="shared" si="8"/>
        <v>TO-s19-IMP</v>
      </c>
      <c r="E315" t="s">
        <v>424</v>
      </c>
      <c r="F315" t="s">
        <v>1378</v>
      </c>
      <c r="G315" t="s">
        <v>1379</v>
      </c>
      <c r="H315" t="s">
        <v>218</v>
      </c>
      <c r="I315" t="s">
        <v>799</v>
      </c>
    </row>
    <row r="316" spans="1:9" x14ac:dyDescent="0.25">
      <c r="A316" t="s">
        <v>969</v>
      </c>
      <c r="B316">
        <v>19</v>
      </c>
      <c r="C316" t="s">
        <v>968</v>
      </c>
      <c r="D316" t="str">
        <f t="shared" si="8"/>
        <v>TO-s19-IMP</v>
      </c>
      <c r="E316" t="s">
        <v>431</v>
      </c>
      <c r="F316" t="s">
        <v>1380</v>
      </c>
      <c r="G316" t="s">
        <v>1381</v>
      </c>
      <c r="H316" t="s">
        <v>470</v>
      </c>
      <c r="I316" t="s">
        <v>405</v>
      </c>
    </row>
    <row r="317" spans="1:9" x14ac:dyDescent="0.25">
      <c r="A317" t="s">
        <v>969</v>
      </c>
      <c r="B317">
        <v>19</v>
      </c>
      <c r="C317" t="s">
        <v>968</v>
      </c>
      <c r="D317" t="str">
        <f t="shared" si="8"/>
        <v>TO-s19-IMP</v>
      </c>
      <c r="E317" t="s">
        <v>432</v>
      </c>
      <c r="F317" t="s">
        <v>1382</v>
      </c>
      <c r="G317" t="s">
        <v>1383</v>
      </c>
      <c r="H317" t="s">
        <v>804</v>
      </c>
      <c r="I317" t="s">
        <v>1384</v>
      </c>
    </row>
    <row r="318" spans="1:9" x14ac:dyDescent="0.25">
      <c r="A318" t="s">
        <v>969</v>
      </c>
      <c r="B318">
        <v>19</v>
      </c>
      <c r="C318" t="s">
        <v>968</v>
      </c>
      <c r="D318" t="str">
        <f t="shared" si="8"/>
        <v>TO-s19-IMP</v>
      </c>
      <c r="E318" t="s">
        <v>433</v>
      </c>
      <c r="F318" t="s">
        <v>1385</v>
      </c>
      <c r="G318" t="s">
        <v>1386</v>
      </c>
      <c r="H318" t="s">
        <v>427</v>
      </c>
      <c r="I318" t="s">
        <v>808</v>
      </c>
    </row>
    <row r="319" spans="1:9" x14ac:dyDescent="0.25">
      <c r="A319" t="s">
        <v>969</v>
      </c>
      <c r="B319">
        <v>19</v>
      </c>
      <c r="C319" t="s">
        <v>968</v>
      </c>
      <c r="D319" t="str">
        <f t="shared" si="8"/>
        <v>TO-s19-IMP</v>
      </c>
      <c r="E319" t="s">
        <v>434</v>
      </c>
      <c r="F319" t="s">
        <v>1387</v>
      </c>
      <c r="G319" t="s">
        <v>882</v>
      </c>
      <c r="H319" t="s">
        <v>481</v>
      </c>
      <c r="I319" t="s">
        <v>810</v>
      </c>
    </row>
    <row r="320" spans="1:9" x14ac:dyDescent="0.25">
      <c r="A320" t="s">
        <v>969</v>
      </c>
      <c r="B320">
        <v>20</v>
      </c>
      <c r="C320" t="s">
        <v>968</v>
      </c>
      <c r="D320" t="str">
        <f t="shared" si="8"/>
        <v>TO-s20-IMP</v>
      </c>
      <c r="E320" t="s">
        <v>430</v>
      </c>
      <c r="F320" t="s">
        <v>1388</v>
      </c>
      <c r="G320" t="s">
        <v>1389</v>
      </c>
      <c r="H320" t="s">
        <v>618</v>
      </c>
      <c r="I320" t="s">
        <v>812</v>
      </c>
    </row>
    <row r="321" spans="1:9" x14ac:dyDescent="0.25">
      <c r="A321" t="s">
        <v>969</v>
      </c>
      <c r="B321">
        <v>20</v>
      </c>
      <c r="C321" t="s">
        <v>968</v>
      </c>
      <c r="D321" t="str">
        <f t="shared" si="8"/>
        <v>TO-s20-IMP</v>
      </c>
      <c r="E321" t="s">
        <v>424</v>
      </c>
      <c r="F321" t="s">
        <v>1390</v>
      </c>
      <c r="G321" t="s">
        <v>698</v>
      </c>
      <c r="H321" t="s">
        <v>580</v>
      </c>
      <c r="I321" t="s">
        <v>815</v>
      </c>
    </row>
    <row r="322" spans="1:9" x14ac:dyDescent="0.25">
      <c r="A322" t="s">
        <v>969</v>
      </c>
      <c r="B322">
        <v>20</v>
      </c>
      <c r="C322" t="s">
        <v>968</v>
      </c>
      <c r="D322" t="str">
        <f t="shared" si="8"/>
        <v>TO-s20-IMP</v>
      </c>
      <c r="E322" t="s">
        <v>431</v>
      </c>
      <c r="F322" t="s">
        <v>1391</v>
      </c>
      <c r="G322" t="s">
        <v>1392</v>
      </c>
      <c r="H322" t="s">
        <v>455</v>
      </c>
      <c r="I322" t="s">
        <v>407</v>
      </c>
    </row>
    <row r="323" spans="1:9" x14ac:dyDescent="0.25">
      <c r="A323" t="s">
        <v>969</v>
      </c>
      <c r="B323">
        <v>20</v>
      </c>
      <c r="C323" t="s">
        <v>968</v>
      </c>
      <c r="D323" t="str">
        <f t="shared" si="8"/>
        <v>TO-s20-IMP</v>
      </c>
      <c r="E323" t="s">
        <v>432</v>
      </c>
      <c r="F323" t="s">
        <v>1393</v>
      </c>
      <c r="G323" t="s">
        <v>1394</v>
      </c>
      <c r="H323" t="s">
        <v>939</v>
      </c>
      <c r="I323" t="s">
        <v>410</v>
      </c>
    </row>
    <row r="324" spans="1:9" x14ac:dyDescent="0.25">
      <c r="A324" t="s">
        <v>969</v>
      </c>
      <c r="B324">
        <v>20</v>
      </c>
      <c r="C324" t="s">
        <v>968</v>
      </c>
      <c r="D324" t="str">
        <f t="shared" si="8"/>
        <v>TO-s20-IMP</v>
      </c>
      <c r="E324" t="s">
        <v>433</v>
      </c>
      <c r="F324" t="s">
        <v>1395</v>
      </c>
      <c r="G324" t="s">
        <v>1396</v>
      </c>
      <c r="H324" t="s">
        <v>629</v>
      </c>
      <c r="I324" t="s">
        <v>413</v>
      </c>
    </row>
    <row r="325" spans="1:9" x14ac:dyDescent="0.25">
      <c r="A325" t="s">
        <v>969</v>
      </c>
      <c r="B325">
        <v>20</v>
      </c>
      <c r="C325" t="s">
        <v>968</v>
      </c>
      <c r="D325" t="str">
        <f t="shared" si="8"/>
        <v>TO-s20-IMP</v>
      </c>
      <c r="E325" t="s">
        <v>434</v>
      </c>
      <c r="F325" t="s">
        <v>825</v>
      </c>
      <c r="G325" t="s">
        <v>1397</v>
      </c>
      <c r="H325" t="s">
        <v>1398</v>
      </c>
      <c r="I325" t="s">
        <v>414</v>
      </c>
    </row>
    <row r="326" spans="1:9" x14ac:dyDescent="0.25">
      <c r="A326" t="s">
        <v>969</v>
      </c>
      <c r="B326">
        <v>21</v>
      </c>
      <c r="C326" t="s">
        <v>968</v>
      </c>
      <c r="D326" t="str">
        <f>_xlfn.CONCAT(A326,"-s",B326,"-",C326)</f>
        <v>TO-s21-IMP</v>
      </c>
      <c r="E326" t="s">
        <v>430</v>
      </c>
      <c r="F326" t="s">
        <v>826</v>
      </c>
      <c r="G326" t="s">
        <v>828</v>
      </c>
      <c r="H326" t="s">
        <v>438</v>
      </c>
      <c r="I326" t="s">
        <v>829</v>
      </c>
    </row>
    <row r="327" spans="1:9" x14ac:dyDescent="0.25">
      <c r="A327" t="s">
        <v>969</v>
      </c>
      <c r="B327">
        <v>21</v>
      </c>
      <c r="C327" t="s">
        <v>968</v>
      </c>
      <c r="D327" t="str">
        <f t="shared" si="5"/>
        <v>TO-s21-IMP</v>
      </c>
      <c r="E327" t="s">
        <v>424</v>
      </c>
      <c r="F327" t="s">
        <v>830</v>
      </c>
      <c r="G327" t="s">
        <v>831</v>
      </c>
      <c r="H327" t="s">
        <v>455</v>
      </c>
      <c r="I327" t="s">
        <v>832</v>
      </c>
    </row>
    <row r="328" spans="1:9" x14ac:dyDescent="0.25">
      <c r="A328" t="s">
        <v>969</v>
      </c>
      <c r="B328">
        <v>21</v>
      </c>
      <c r="C328" t="s">
        <v>968</v>
      </c>
      <c r="D328" t="str">
        <f t="shared" si="5"/>
        <v>TO-s21-IMP</v>
      </c>
      <c r="E328" t="s">
        <v>431</v>
      </c>
      <c r="F328" t="s">
        <v>833</v>
      </c>
      <c r="G328" t="s">
        <v>834</v>
      </c>
      <c r="H328" t="s">
        <v>835</v>
      </c>
      <c r="I328" t="s">
        <v>836</v>
      </c>
    </row>
    <row r="329" spans="1:9" x14ac:dyDescent="0.25">
      <c r="A329" t="s">
        <v>969</v>
      </c>
      <c r="B329">
        <v>21</v>
      </c>
      <c r="C329" t="s">
        <v>968</v>
      </c>
      <c r="D329" t="str">
        <f t="shared" si="5"/>
        <v>TO-s21-IMP</v>
      </c>
      <c r="E329" t="s">
        <v>432</v>
      </c>
      <c r="F329" t="s">
        <v>837</v>
      </c>
      <c r="G329" t="s">
        <v>838</v>
      </c>
      <c r="H329" t="s">
        <v>839</v>
      </c>
      <c r="I329" t="s">
        <v>840</v>
      </c>
    </row>
    <row r="330" spans="1:9" x14ac:dyDescent="0.25">
      <c r="A330" t="s">
        <v>969</v>
      </c>
      <c r="B330">
        <v>21</v>
      </c>
      <c r="C330" t="s">
        <v>968</v>
      </c>
      <c r="D330" t="str">
        <f t="shared" si="5"/>
        <v>TO-s21-IMP</v>
      </c>
      <c r="E330" t="s">
        <v>433</v>
      </c>
      <c r="F330" t="s">
        <v>844</v>
      </c>
      <c r="G330" t="s">
        <v>841</v>
      </c>
      <c r="H330" t="s">
        <v>842</v>
      </c>
      <c r="I330" t="s">
        <v>415</v>
      </c>
    </row>
    <row r="331" spans="1:9" x14ac:dyDescent="0.25">
      <c r="A331" t="s">
        <v>969</v>
      </c>
      <c r="B331">
        <v>21</v>
      </c>
      <c r="C331" t="s">
        <v>968</v>
      </c>
      <c r="D331" t="str">
        <f t="shared" si="5"/>
        <v>TO-s21-IMP</v>
      </c>
      <c r="E331" t="s">
        <v>434</v>
      </c>
      <c r="F331" t="s">
        <v>843</v>
      </c>
      <c r="G331" t="s">
        <v>845</v>
      </c>
      <c r="H331" t="s">
        <v>133</v>
      </c>
      <c r="I331" t="s">
        <v>416</v>
      </c>
    </row>
    <row r="332" spans="1:9" x14ac:dyDescent="0.25">
      <c r="A332" t="s">
        <v>969</v>
      </c>
      <c r="B332">
        <v>22</v>
      </c>
      <c r="C332" t="s">
        <v>968</v>
      </c>
      <c r="D332" t="str">
        <f t="shared" si="5"/>
        <v>TO-s22-IMP</v>
      </c>
      <c r="E332" t="s">
        <v>430</v>
      </c>
      <c r="F332" t="s">
        <v>846</v>
      </c>
      <c r="G332" t="s">
        <v>847</v>
      </c>
      <c r="H332" t="s">
        <v>22</v>
      </c>
      <c r="I332" t="s">
        <v>848</v>
      </c>
    </row>
    <row r="333" spans="1:9" x14ac:dyDescent="0.25">
      <c r="A333" t="s">
        <v>969</v>
      </c>
      <c r="B333">
        <v>22</v>
      </c>
      <c r="C333" t="s">
        <v>968</v>
      </c>
      <c r="D333" t="str">
        <f t="shared" si="5"/>
        <v>TO-s22-IMP</v>
      </c>
      <c r="E333" t="s">
        <v>424</v>
      </c>
      <c r="F333" t="s">
        <v>849</v>
      </c>
      <c r="G333" t="s">
        <v>851</v>
      </c>
      <c r="H333" t="s">
        <v>446</v>
      </c>
      <c r="I333" t="s">
        <v>852</v>
      </c>
    </row>
    <row r="334" spans="1:9" x14ac:dyDescent="0.25">
      <c r="A334" t="s">
        <v>969</v>
      </c>
      <c r="B334">
        <v>22</v>
      </c>
      <c r="C334" t="s">
        <v>968</v>
      </c>
      <c r="D334" t="str">
        <f t="shared" si="5"/>
        <v>TO-s22-IMP</v>
      </c>
      <c r="E334" t="s">
        <v>431</v>
      </c>
      <c r="F334" t="s">
        <v>853</v>
      </c>
      <c r="G334" t="s">
        <v>854</v>
      </c>
      <c r="H334" t="s">
        <v>22</v>
      </c>
      <c r="I334" t="s">
        <v>855</v>
      </c>
    </row>
    <row r="335" spans="1:9" x14ac:dyDescent="0.25">
      <c r="A335" t="s">
        <v>969</v>
      </c>
      <c r="B335">
        <v>22</v>
      </c>
      <c r="C335" t="s">
        <v>968</v>
      </c>
      <c r="D335" t="str">
        <f t="shared" si="5"/>
        <v>TO-s22-IMP</v>
      </c>
      <c r="E335" t="s">
        <v>432</v>
      </c>
      <c r="F335" t="s">
        <v>856</v>
      </c>
      <c r="G335" t="s">
        <v>857</v>
      </c>
      <c r="H335" t="s">
        <v>858</v>
      </c>
      <c r="I335" t="s">
        <v>859</v>
      </c>
    </row>
    <row r="336" spans="1:9" x14ac:dyDescent="0.25">
      <c r="A336" t="s">
        <v>969</v>
      </c>
      <c r="B336">
        <v>22</v>
      </c>
      <c r="C336" t="s">
        <v>968</v>
      </c>
      <c r="D336" t="str">
        <f t="shared" si="5"/>
        <v>TO-s22-IMP</v>
      </c>
      <c r="E336" t="s">
        <v>433</v>
      </c>
      <c r="F336" t="s">
        <v>860</v>
      </c>
      <c r="G336" t="s">
        <v>589</v>
      </c>
      <c r="H336" t="s">
        <v>590</v>
      </c>
      <c r="I336" t="s">
        <v>862</v>
      </c>
    </row>
    <row r="337" spans="1:9" x14ac:dyDescent="0.25">
      <c r="A337" t="s">
        <v>969</v>
      </c>
      <c r="B337">
        <v>22</v>
      </c>
      <c r="C337" t="s">
        <v>968</v>
      </c>
      <c r="D337" t="str">
        <f t="shared" si="5"/>
        <v>TO-s22-IMP</v>
      </c>
      <c r="E337" t="s">
        <v>434</v>
      </c>
      <c r="F337" t="s">
        <v>863</v>
      </c>
      <c r="G337" t="s">
        <v>864</v>
      </c>
      <c r="H337" t="s">
        <v>169</v>
      </c>
      <c r="I337" t="s">
        <v>865</v>
      </c>
    </row>
    <row r="338" spans="1:9" x14ac:dyDescent="0.25">
      <c r="A338" t="s">
        <v>969</v>
      </c>
      <c r="B338">
        <v>23</v>
      </c>
      <c r="C338" t="s">
        <v>968</v>
      </c>
      <c r="D338" t="str">
        <f t="shared" si="5"/>
        <v>TO-s23-IMP</v>
      </c>
      <c r="E338" t="s">
        <v>430</v>
      </c>
      <c r="F338" t="s">
        <v>866</v>
      </c>
      <c r="G338" t="s">
        <v>867</v>
      </c>
      <c r="H338" t="s">
        <v>438</v>
      </c>
      <c r="I338" t="s">
        <v>868</v>
      </c>
    </row>
    <row r="339" spans="1:9" x14ac:dyDescent="0.25">
      <c r="A339" t="s">
        <v>969</v>
      </c>
      <c r="B339">
        <v>23</v>
      </c>
      <c r="C339" t="s">
        <v>968</v>
      </c>
      <c r="D339" t="str">
        <f t="shared" si="5"/>
        <v>TO-s23-IMP</v>
      </c>
      <c r="E339" t="s">
        <v>424</v>
      </c>
      <c r="F339" t="s">
        <v>869</v>
      </c>
      <c r="G339" t="s">
        <v>870</v>
      </c>
      <c r="H339" t="s">
        <v>594</v>
      </c>
      <c r="I339" t="s">
        <v>871</v>
      </c>
    </row>
    <row r="340" spans="1:9" x14ac:dyDescent="0.25">
      <c r="A340" t="s">
        <v>969</v>
      </c>
      <c r="B340">
        <v>23</v>
      </c>
      <c r="C340" t="s">
        <v>968</v>
      </c>
      <c r="D340" t="str">
        <f t="shared" si="5"/>
        <v>TO-s23-IMP</v>
      </c>
      <c r="E340" t="s">
        <v>431</v>
      </c>
      <c r="F340" t="s">
        <v>872</v>
      </c>
      <c r="G340" t="s">
        <v>873</v>
      </c>
      <c r="H340" t="s">
        <v>875</v>
      </c>
      <c r="I340" t="s">
        <v>876</v>
      </c>
    </row>
    <row r="341" spans="1:9" x14ac:dyDescent="0.25">
      <c r="A341" t="s">
        <v>969</v>
      </c>
      <c r="B341">
        <v>23</v>
      </c>
      <c r="C341" t="s">
        <v>968</v>
      </c>
      <c r="D341" t="str">
        <f t="shared" si="5"/>
        <v>TO-s23-IMP</v>
      </c>
      <c r="E341" t="s">
        <v>432</v>
      </c>
      <c r="F341" t="s">
        <v>877</v>
      </c>
      <c r="G341" t="s">
        <v>878</v>
      </c>
      <c r="H341" t="s">
        <v>879</v>
      </c>
      <c r="I341" t="s">
        <v>880</v>
      </c>
    </row>
    <row r="342" spans="1:9" x14ac:dyDescent="0.25">
      <c r="A342" t="s">
        <v>969</v>
      </c>
      <c r="B342">
        <v>23</v>
      </c>
      <c r="C342" t="s">
        <v>968</v>
      </c>
      <c r="D342" t="str">
        <f t="shared" si="5"/>
        <v>TO-s23-IMP</v>
      </c>
      <c r="E342" t="s">
        <v>433</v>
      </c>
      <c r="F342" t="s">
        <v>881</v>
      </c>
      <c r="G342" t="s">
        <v>882</v>
      </c>
      <c r="H342" t="s">
        <v>526</v>
      </c>
      <c r="I342" t="s">
        <v>884</v>
      </c>
    </row>
    <row r="343" spans="1:9" x14ac:dyDescent="0.25">
      <c r="A343" t="s">
        <v>969</v>
      </c>
      <c r="B343">
        <v>23</v>
      </c>
      <c r="C343" t="s">
        <v>968</v>
      </c>
      <c r="D343" t="str">
        <f t="shared" si="5"/>
        <v>TO-s23-IMP</v>
      </c>
      <c r="E343" t="s">
        <v>434</v>
      </c>
      <c r="F343" t="s">
        <v>885</v>
      </c>
      <c r="G343" t="s">
        <v>886</v>
      </c>
      <c r="H343" t="s">
        <v>175</v>
      </c>
      <c r="I343" t="s">
        <v>887</v>
      </c>
    </row>
    <row r="344" spans="1:9" x14ac:dyDescent="0.25">
      <c r="A344" t="s">
        <v>969</v>
      </c>
      <c r="B344">
        <v>24</v>
      </c>
      <c r="C344" t="s">
        <v>968</v>
      </c>
      <c r="D344" t="str">
        <f t="shared" si="5"/>
        <v>TO-s24-IMP</v>
      </c>
      <c r="E344" t="s">
        <v>430</v>
      </c>
      <c r="F344" t="s">
        <v>888</v>
      </c>
      <c r="G344" t="s">
        <v>889</v>
      </c>
      <c r="H344" t="s">
        <v>495</v>
      </c>
      <c r="I344" t="s">
        <v>890</v>
      </c>
    </row>
    <row r="345" spans="1:9" x14ac:dyDescent="0.25">
      <c r="A345" t="s">
        <v>969</v>
      </c>
      <c r="B345">
        <v>24</v>
      </c>
      <c r="C345" t="s">
        <v>968</v>
      </c>
      <c r="D345" t="str">
        <f t="shared" si="5"/>
        <v>TO-s24-IMP</v>
      </c>
      <c r="E345" t="s">
        <v>424</v>
      </c>
      <c r="F345" t="s">
        <v>891</v>
      </c>
      <c r="G345" t="s">
        <v>892</v>
      </c>
      <c r="H345" t="s">
        <v>446</v>
      </c>
      <c r="I345" t="s">
        <v>893</v>
      </c>
    </row>
    <row r="346" spans="1:9" x14ac:dyDescent="0.25">
      <c r="A346" t="s">
        <v>969</v>
      </c>
      <c r="B346">
        <v>24</v>
      </c>
      <c r="C346" t="s">
        <v>968</v>
      </c>
      <c r="D346" t="str">
        <f t="shared" si="5"/>
        <v>TO-s24-IMP</v>
      </c>
      <c r="E346" t="s">
        <v>431</v>
      </c>
      <c r="F346" t="s">
        <v>894</v>
      </c>
      <c r="G346" t="s">
        <v>895</v>
      </c>
      <c r="H346" t="s">
        <v>896</v>
      </c>
      <c r="I346" t="s">
        <v>897</v>
      </c>
    </row>
    <row r="347" spans="1:9" x14ac:dyDescent="0.25">
      <c r="A347" t="s">
        <v>969</v>
      </c>
      <c r="B347">
        <v>24</v>
      </c>
      <c r="C347" t="s">
        <v>968</v>
      </c>
      <c r="D347" t="str">
        <f t="shared" si="5"/>
        <v>TO-s24-IMP</v>
      </c>
      <c r="E347" t="s">
        <v>432</v>
      </c>
      <c r="F347" t="s">
        <v>898</v>
      </c>
      <c r="G347" t="s">
        <v>899</v>
      </c>
      <c r="H347" t="s">
        <v>696</v>
      </c>
      <c r="I347" t="s">
        <v>900</v>
      </c>
    </row>
    <row r="348" spans="1:9" x14ac:dyDescent="0.25">
      <c r="A348" t="s">
        <v>969</v>
      </c>
      <c r="B348">
        <v>24</v>
      </c>
      <c r="C348" t="s">
        <v>968</v>
      </c>
      <c r="D348" t="str">
        <f t="shared" si="5"/>
        <v>TO-s24-IMP</v>
      </c>
      <c r="E348" t="s">
        <v>433</v>
      </c>
      <c r="F348" t="s">
        <v>901</v>
      </c>
      <c r="G348" t="s">
        <v>902</v>
      </c>
      <c r="H348" t="s">
        <v>481</v>
      </c>
      <c r="I348" t="s">
        <v>903</v>
      </c>
    </row>
    <row r="349" spans="1:9" x14ac:dyDescent="0.25">
      <c r="A349" t="s">
        <v>969</v>
      </c>
      <c r="B349">
        <v>24</v>
      </c>
      <c r="C349" t="s">
        <v>968</v>
      </c>
      <c r="D349" t="str">
        <f t="shared" si="5"/>
        <v>TO-s24-IMP</v>
      </c>
      <c r="E349" t="s">
        <v>434</v>
      </c>
      <c r="F349" t="s">
        <v>904</v>
      </c>
      <c r="G349" t="s">
        <v>589</v>
      </c>
      <c r="H349" t="s">
        <v>512</v>
      </c>
      <c r="I349" t="s">
        <v>905</v>
      </c>
    </row>
    <row r="350" spans="1:9" x14ac:dyDescent="0.25">
      <c r="A350" t="s">
        <v>969</v>
      </c>
      <c r="B350">
        <v>25</v>
      </c>
      <c r="C350" t="s">
        <v>968</v>
      </c>
      <c r="D350" t="str">
        <f t="shared" si="5"/>
        <v>TO-s25-IMP</v>
      </c>
      <c r="E350" t="s">
        <v>430</v>
      </c>
      <c r="F350" t="s">
        <v>906</v>
      </c>
      <c r="G350" t="s">
        <v>908</v>
      </c>
      <c r="H350" t="s">
        <v>626</v>
      </c>
      <c r="I350" t="s">
        <v>909</v>
      </c>
    </row>
    <row r="351" spans="1:9" x14ac:dyDescent="0.25">
      <c r="A351" t="s">
        <v>969</v>
      </c>
      <c r="B351">
        <v>25</v>
      </c>
      <c r="C351" t="s">
        <v>968</v>
      </c>
      <c r="D351" t="str">
        <f t="shared" si="5"/>
        <v>TO-s25-IMP</v>
      </c>
      <c r="E351" t="s">
        <v>424</v>
      </c>
      <c r="F351" t="s">
        <v>910</v>
      </c>
      <c r="G351" t="s">
        <v>911</v>
      </c>
      <c r="H351" t="s">
        <v>912</v>
      </c>
      <c r="I351" t="s">
        <v>913</v>
      </c>
    </row>
    <row r="352" spans="1:9" x14ac:dyDescent="0.25">
      <c r="A352" t="s">
        <v>969</v>
      </c>
      <c r="B352">
        <v>25</v>
      </c>
      <c r="C352" t="s">
        <v>968</v>
      </c>
      <c r="D352" t="str">
        <f t="shared" si="5"/>
        <v>TO-s25-IMP</v>
      </c>
      <c r="E352" t="s">
        <v>431</v>
      </c>
      <c r="F352" t="s">
        <v>914</v>
      </c>
      <c r="G352" t="s">
        <v>915</v>
      </c>
      <c r="H352" t="s">
        <v>422</v>
      </c>
      <c r="I352" t="s">
        <v>916</v>
      </c>
    </row>
    <row r="353" spans="1:9" x14ac:dyDescent="0.25">
      <c r="A353" t="s">
        <v>969</v>
      </c>
      <c r="B353">
        <v>25</v>
      </c>
      <c r="C353" t="s">
        <v>968</v>
      </c>
      <c r="D353" t="str">
        <f t="shared" si="5"/>
        <v>TO-s25-IMP</v>
      </c>
      <c r="E353" t="s">
        <v>432</v>
      </c>
      <c r="F353" t="s">
        <v>917</v>
      </c>
      <c r="G353" t="s">
        <v>918</v>
      </c>
      <c r="H353" t="s">
        <v>169</v>
      </c>
      <c r="I353" t="s">
        <v>919</v>
      </c>
    </row>
    <row r="354" spans="1:9" x14ac:dyDescent="0.25">
      <c r="A354" t="s">
        <v>969</v>
      </c>
      <c r="B354">
        <v>25</v>
      </c>
      <c r="C354" t="s">
        <v>968</v>
      </c>
      <c r="D354" t="str">
        <f t="shared" si="5"/>
        <v>TO-s25-IMP</v>
      </c>
      <c r="E354" t="s">
        <v>433</v>
      </c>
      <c r="F354" t="s">
        <v>920</v>
      </c>
      <c r="G354" t="s">
        <v>921</v>
      </c>
      <c r="H354" t="s">
        <v>586</v>
      </c>
      <c r="I354" t="s">
        <v>922</v>
      </c>
    </row>
    <row r="355" spans="1:9" x14ac:dyDescent="0.25">
      <c r="A355" t="s">
        <v>969</v>
      </c>
      <c r="B355">
        <v>25</v>
      </c>
      <c r="C355" t="s">
        <v>968</v>
      </c>
      <c r="D355" t="str">
        <f t="shared" si="5"/>
        <v>TO-s25-IMP</v>
      </c>
      <c r="E355" t="s">
        <v>434</v>
      </c>
      <c r="F355" t="s">
        <v>923</v>
      </c>
      <c r="G355" t="s">
        <v>924</v>
      </c>
      <c r="H355" t="s">
        <v>466</v>
      </c>
      <c r="I355" t="s">
        <v>926</v>
      </c>
    </row>
    <row r="356" spans="1:9" x14ac:dyDescent="0.25">
      <c r="A356" t="s">
        <v>969</v>
      </c>
      <c r="B356">
        <v>26</v>
      </c>
      <c r="C356" t="s">
        <v>968</v>
      </c>
      <c r="D356" t="str">
        <f t="shared" si="5"/>
        <v>TO-s26-IMP</v>
      </c>
      <c r="E356" t="s">
        <v>430</v>
      </c>
      <c r="F356" t="s">
        <v>927</v>
      </c>
      <c r="G356" t="s">
        <v>928</v>
      </c>
      <c r="H356" t="s">
        <v>586</v>
      </c>
      <c r="I356" t="s">
        <v>929</v>
      </c>
    </row>
    <row r="357" spans="1:9" x14ac:dyDescent="0.25">
      <c r="A357" t="s">
        <v>969</v>
      </c>
      <c r="B357">
        <v>26</v>
      </c>
      <c r="C357" t="s">
        <v>968</v>
      </c>
      <c r="D357" t="str">
        <f t="shared" si="5"/>
        <v>TO-s26-IMP</v>
      </c>
      <c r="E357" t="s">
        <v>424</v>
      </c>
      <c r="F357" t="s">
        <v>930</v>
      </c>
      <c r="G357" t="s">
        <v>931</v>
      </c>
      <c r="H357" t="s">
        <v>586</v>
      </c>
      <c r="I357" t="s">
        <v>932</v>
      </c>
    </row>
    <row r="358" spans="1:9" x14ac:dyDescent="0.25">
      <c r="A358" t="s">
        <v>969</v>
      </c>
      <c r="B358">
        <v>26</v>
      </c>
      <c r="C358" t="s">
        <v>968</v>
      </c>
      <c r="D358" t="str">
        <f t="shared" si="5"/>
        <v>TO-s26-IMP</v>
      </c>
      <c r="E358" t="s">
        <v>431</v>
      </c>
      <c r="F358" t="s">
        <v>933</v>
      </c>
      <c r="G358" t="s">
        <v>674</v>
      </c>
      <c r="H358" t="s">
        <v>934</v>
      </c>
      <c r="I358" t="s">
        <v>935</v>
      </c>
    </row>
    <row r="359" spans="1:9" x14ac:dyDescent="0.25">
      <c r="A359" t="s">
        <v>969</v>
      </c>
      <c r="B359">
        <v>26</v>
      </c>
      <c r="C359" t="s">
        <v>968</v>
      </c>
      <c r="D359" t="str">
        <f t="shared" si="5"/>
        <v>TO-s26-IMP</v>
      </c>
      <c r="E359" t="s">
        <v>432</v>
      </c>
      <c r="F359" t="s">
        <v>936</v>
      </c>
      <c r="G359" t="s">
        <v>692</v>
      </c>
      <c r="H359" t="s">
        <v>422</v>
      </c>
      <c r="I359" t="s">
        <v>937</v>
      </c>
    </row>
    <row r="360" spans="1:9" x14ac:dyDescent="0.25">
      <c r="A360" t="s">
        <v>969</v>
      </c>
      <c r="B360">
        <v>26</v>
      </c>
      <c r="C360" t="s">
        <v>968</v>
      </c>
      <c r="D360" t="str">
        <f t="shared" si="5"/>
        <v>TO-s26-IMP</v>
      </c>
      <c r="E360" t="s">
        <v>433</v>
      </c>
      <c r="F360" t="s">
        <v>938</v>
      </c>
      <c r="G360" t="s">
        <v>671</v>
      </c>
      <c r="H360" t="s">
        <v>681</v>
      </c>
      <c r="I360" t="s">
        <v>940</v>
      </c>
    </row>
    <row r="361" spans="1:9" x14ac:dyDescent="0.25">
      <c r="A361" t="s">
        <v>969</v>
      </c>
      <c r="B361">
        <v>26</v>
      </c>
      <c r="C361" t="s">
        <v>968</v>
      </c>
      <c r="D361" t="str">
        <f t="shared" si="5"/>
        <v>TO-s26-IMP</v>
      </c>
      <c r="E361" t="s">
        <v>434</v>
      </c>
      <c r="F361" t="s">
        <v>941</v>
      </c>
      <c r="G361" t="s">
        <v>942</v>
      </c>
      <c r="H361" t="s">
        <v>481</v>
      </c>
      <c r="I361" t="s">
        <v>943</v>
      </c>
    </row>
    <row r="362" spans="1:9" x14ac:dyDescent="0.25">
      <c r="A362" t="s">
        <v>969</v>
      </c>
      <c r="B362">
        <v>27</v>
      </c>
      <c r="C362" t="s">
        <v>968</v>
      </c>
      <c r="D362" t="str">
        <f t="shared" si="5"/>
        <v>TO-s27-IMP</v>
      </c>
      <c r="E362" t="s">
        <v>430</v>
      </c>
      <c r="F362" t="s">
        <v>944</v>
      </c>
      <c r="G362" t="s">
        <v>945</v>
      </c>
      <c r="H362" t="s">
        <v>946</v>
      </c>
      <c r="I362" t="s">
        <v>947</v>
      </c>
    </row>
    <row r="363" spans="1:9" x14ac:dyDescent="0.25">
      <c r="A363" t="s">
        <v>969</v>
      </c>
      <c r="B363">
        <v>27</v>
      </c>
      <c r="C363" t="s">
        <v>968</v>
      </c>
      <c r="D363" t="str">
        <f t="shared" si="5"/>
        <v>TO-s27-IMP</v>
      </c>
      <c r="E363" t="s">
        <v>424</v>
      </c>
      <c r="F363" t="s">
        <v>948</v>
      </c>
      <c r="G363" t="s">
        <v>949</v>
      </c>
      <c r="H363" t="s">
        <v>950</v>
      </c>
      <c r="I363" t="s">
        <v>951</v>
      </c>
    </row>
    <row r="364" spans="1:9" x14ac:dyDescent="0.25">
      <c r="A364" t="s">
        <v>969</v>
      </c>
      <c r="B364">
        <v>27</v>
      </c>
      <c r="C364" t="s">
        <v>968</v>
      </c>
      <c r="D364" t="str">
        <f t="shared" si="5"/>
        <v>TO-s27-IMP</v>
      </c>
      <c r="E364" t="s">
        <v>431</v>
      </c>
      <c r="F364" t="s">
        <v>952</v>
      </c>
      <c r="G364" t="s">
        <v>953</v>
      </c>
      <c r="H364" t="s">
        <v>954</v>
      </c>
      <c r="I364" t="s">
        <v>955</v>
      </c>
    </row>
    <row r="365" spans="1:9" x14ac:dyDescent="0.25">
      <c r="A365" t="s">
        <v>969</v>
      </c>
      <c r="B365">
        <v>27</v>
      </c>
      <c r="C365" t="s">
        <v>968</v>
      </c>
      <c r="D365" t="str">
        <f t="shared" si="5"/>
        <v>TO-s27-IMP</v>
      </c>
      <c r="E365" t="s">
        <v>432</v>
      </c>
      <c r="F365" t="s">
        <v>956</v>
      </c>
      <c r="G365" t="s">
        <v>957</v>
      </c>
      <c r="H365" t="s">
        <v>958</v>
      </c>
      <c r="I365" t="s">
        <v>959</v>
      </c>
    </row>
    <row r="366" spans="1:9" x14ac:dyDescent="0.25">
      <c r="A366" t="s">
        <v>969</v>
      </c>
      <c r="B366">
        <v>27</v>
      </c>
      <c r="C366" t="s">
        <v>968</v>
      </c>
      <c r="D366" t="str">
        <f t="shared" si="5"/>
        <v>TO-s27-IMP</v>
      </c>
      <c r="E366" t="s">
        <v>433</v>
      </c>
      <c r="F366" t="s">
        <v>960</v>
      </c>
      <c r="G366" t="s">
        <v>961</v>
      </c>
      <c r="H366" t="s">
        <v>963</v>
      </c>
      <c r="I366" t="s">
        <v>964</v>
      </c>
    </row>
    <row r="367" spans="1:9" x14ac:dyDescent="0.25">
      <c r="A367" t="s">
        <v>969</v>
      </c>
      <c r="B367">
        <v>27</v>
      </c>
      <c r="C367" t="s">
        <v>968</v>
      </c>
      <c r="D367" t="str">
        <f t="shared" si="5"/>
        <v>TO-s27-IMP</v>
      </c>
      <c r="E367" t="s">
        <v>434</v>
      </c>
      <c r="F367" t="s">
        <v>965</v>
      </c>
      <c r="G367" t="s">
        <v>966</v>
      </c>
      <c r="H367" t="s">
        <v>950</v>
      </c>
      <c r="I367" t="s">
        <v>967</v>
      </c>
    </row>
    <row r="368" spans="1:9" x14ac:dyDescent="0.25">
      <c r="A368" t="s">
        <v>969</v>
      </c>
      <c r="B368">
        <v>28</v>
      </c>
      <c r="C368" t="s">
        <v>968</v>
      </c>
      <c r="D368" t="str">
        <f t="shared" si="5"/>
        <v>TO-s28-IMP</v>
      </c>
      <c r="E368" t="s">
        <v>430</v>
      </c>
      <c r="F368" t="s">
        <v>27</v>
      </c>
      <c r="G368" t="s">
        <v>1399</v>
      </c>
      <c r="H368" t="s">
        <v>939</v>
      </c>
      <c r="I368" t="s">
        <v>1052</v>
      </c>
    </row>
    <row r="369" spans="1:9" x14ac:dyDescent="0.25">
      <c r="A369" t="s">
        <v>969</v>
      </c>
      <c r="B369">
        <v>28</v>
      </c>
      <c r="C369" t="s">
        <v>968</v>
      </c>
      <c r="D369" t="str">
        <f t="shared" si="5"/>
        <v>TO-s28-IMP</v>
      </c>
      <c r="E369" t="s">
        <v>424</v>
      </c>
      <c r="F369" t="s">
        <v>1400</v>
      </c>
      <c r="G369" t="s">
        <v>1401</v>
      </c>
      <c r="H369" t="s">
        <v>455</v>
      </c>
      <c r="I369" t="s">
        <v>1055</v>
      </c>
    </row>
    <row r="370" spans="1:9" x14ac:dyDescent="0.25">
      <c r="A370" t="s">
        <v>969</v>
      </c>
      <c r="B370">
        <v>28</v>
      </c>
      <c r="C370" t="s">
        <v>968</v>
      </c>
      <c r="D370" t="str">
        <f t="shared" si="5"/>
        <v>TO-s28-IMP</v>
      </c>
      <c r="E370" t="s">
        <v>431</v>
      </c>
      <c r="F370" t="s">
        <v>1402</v>
      </c>
      <c r="G370" t="s">
        <v>1403</v>
      </c>
      <c r="H370" t="s">
        <v>438</v>
      </c>
      <c r="I370" t="s">
        <v>1058</v>
      </c>
    </row>
    <row r="371" spans="1:9" x14ac:dyDescent="0.25">
      <c r="A371" t="s">
        <v>969</v>
      </c>
      <c r="B371">
        <v>28</v>
      </c>
      <c r="C371" t="s">
        <v>968</v>
      </c>
      <c r="D371" t="str">
        <f t="shared" si="5"/>
        <v>TO-s28-IMP</v>
      </c>
      <c r="E371" t="s">
        <v>432</v>
      </c>
      <c r="F371" t="s">
        <v>1404</v>
      </c>
      <c r="G371" t="s">
        <v>1405</v>
      </c>
      <c r="H371" t="s">
        <v>169</v>
      </c>
      <c r="I371" t="s">
        <v>1060</v>
      </c>
    </row>
    <row r="372" spans="1:9" x14ac:dyDescent="0.25">
      <c r="A372" t="s">
        <v>969</v>
      </c>
      <c r="B372">
        <v>28</v>
      </c>
      <c r="C372" t="s">
        <v>968</v>
      </c>
      <c r="D372" t="str">
        <f t="shared" si="5"/>
        <v>TO-s28-IMP</v>
      </c>
      <c r="E372" t="s">
        <v>433</v>
      </c>
      <c r="F372" t="s">
        <v>1406</v>
      </c>
      <c r="G372" t="s">
        <v>1407</v>
      </c>
      <c r="H372" t="s">
        <v>1063</v>
      </c>
      <c r="I372" t="s">
        <v>1064</v>
      </c>
    </row>
    <row r="373" spans="1:9" x14ac:dyDescent="0.25">
      <c r="A373" t="s">
        <v>969</v>
      </c>
      <c r="B373">
        <v>28</v>
      </c>
      <c r="C373" t="s">
        <v>968</v>
      </c>
      <c r="D373" t="str">
        <f t="shared" si="5"/>
        <v>TO-s28-IMP</v>
      </c>
      <c r="E373" t="s">
        <v>434</v>
      </c>
      <c r="F373" t="s">
        <v>1408</v>
      </c>
      <c r="G373" t="s">
        <v>1409</v>
      </c>
      <c r="H373" t="s">
        <v>1067</v>
      </c>
      <c r="I373" t="s">
        <v>1068</v>
      </c>
    </row>
    <row r="374" spans="1:9" x14ac:dyDescent="0.25">
      <c r="A374" t="s">
        <v>969</v>
      </c>
      <c r="B374">
        <v>29</v>
      </c>
      <c r="C374" t="s">
        <v>968</v>
      </c>
      <c r="D374" t="str">
        <f t="shared" si="5"/>
        <v>TO-s29-IMP</v>
      </c>
      <c r="E374" t="s">
        <v>430</v>
      </c>
      <c r="F374" t="s">
        <v>1410</v>
      </c>
      <c r="G374" t="s">
        <v>1411</v>
      </c>
      <c r="H374" t="s">
        <v>618</v>
      </c>
      <c r="I374" t="s">
        <v>1070</v>
      </c>
    </row>
    <row r="375" spans="1:9" x14ac:dyDescent="0.25">
      <c r="A375" t="s">
        <v>969</v>
      </c>
      <c r="B375">
        <v>29</v>
      </c>
      <c r="C375" t="s">
        <v>968</v>
      </c>
      <c r="D375" t="str">
        <f t="shared" si="5"/>
        <v>TO-s29-IMP</v>
      </c>
      <c r="E375" t="s">
        <v>424</v>
      </c>
      <c r="F375" t="s">
        <v>1412</v>
      </c>
      <c r="G375" t="s">
        <v>1007</v>
      </c>
      <c r="H375" t="s">
        <v>842</v>
      </c>
      <c r="I375" t="s">
        <v>1072</v>
      </c>
    </row>
    <row r="376" spans="1:9" x14ac:dyDescent="0.25">
      <c r="A376" t="s">
        <v>969</v>
      </c>
      <c r="B376">
        <v>29</v>
      </c>
      <c r="C376" t="s">
        <v>968</v>
      </c>
      <c r="D376" t="str">
        <f t="shared" si="5"/>
        <v>TO-s29-IMP</v>
      </c>
      <c r="E376" t="s">
        <v>431</v>
      </c>
      <c r="F376" t="s">
        <v>1413</v>
      </c>
      <c r="G376" t="s">
        <v>1331</v>
      </c>
      <c r="H376" t="s">
        <v>839</v>
      </c>
      <c r="I376" t="s">
        <v>1075</v>
      </c>
    </row>
    <row r="377" spans="1:9" x14ac:dyDescent="0.25">
      <c r="A377" t="s">
        <v>969</v>
      </c>
      <c r="B377">
        <v>29</v>
      </c>
      <c r="C377" t="s">
        <v>968</v>
      </c>
      <c r="D377" t="str">
        <f t="shared" si="5"/>
        <v>TO-s29-IMP</v>
      </c>
      <c r="E377" t="s">
        <v>432</v>
      </c>
      <c r="F377" t="s">
        <v>1414</v>
      </c>
      <c r="G377" t="s">
        <v>1086</v>
      </c>
      <c r="H377" t="s">
        <v>934</v>
      </c>
      <c r="I377" t="s">
        <v>1078</v>
      </c>
    </row>
    <row r="378" spans="1:9" x14ac:dyDescent="0.25">
      <c r="A378" t="s">
        <v>969</v>
      </c>
      <c r="B378">
        <v>29</v>
      </c>
      <c r="C378" t="s">
        <v>968</v>
      </c>
      <c r="D378" t="str">
        <f t="shared" si="5"/>
        <v>TO-s29-IMP</v>
      </c>
      <c r="E378" t="s">
        <v>433</v>
      </c>
      <c r="F378" t="s">
        <v>1415</v>
      </c>
      <c r="G378" t="s">
        <v>1416</v>
      </c>
      <c r="H378" t="s">
        <v>481</v>
      </c>
      <c r="I378" t="s">
        <v>1081</v>
      </c>
    </row>
    <row r="379" spans="1:9" x14ac:dyDescent="0.25">
      <c r="A379" t="s">
        <v>969</v>
      </c>
      <c r="B379">
        <v>29</v>
      </c>
      <c r="C379" t="s">
        <v>968</v>
      </c>
      <c r="D379" t="str">
        <f t="shared" si="5"/>
        <v>TO-s29-IMP</v>
      </c>
      <c r="E379" t="s">
        <v>434</v>
      </c>
      <c r="F379" t="s">
        <v>1417</v>
      </c>
      <c r="G379" t="s">
        <v>1080</v>
      </c>
      <c r="H379" t="s">
        <v>1418</v>
      </c>
      <c r="I379" t="s">
        <v>1084</v>
      </c>
    </row>
    <row r="380" spans="1:9" x14ac:dyDescent="0.25">
      <c r="A380" t="s">
        <v>969</v>
      </c>
      <c r="B380">
        <v>30</v>
      </c>
      <c r="C380" t="s">
        <v>968</v>
      </c>
      <c r="D380" t="str">
        <f t="shared" si="5"/>
        <v>TO-s30-IMP</v>
      </c>
      <c r="E380" t="s">
        <v>430</v>
      </c>
      <c r="F380" t="s">
        <v>1419</v>
      </c>
      <c r="G380" t="s">
        <v>1420</v>
      </c>
      <c r="H380" t="s">
        <v>526</v>
      </c>
      <c r="I380" t="s">
        <v>1087</v>
      </c>
    </row>
    <row r="381" spans="1:9" x14ac:dyDescent="0.25">
      <c r="A381" t="s">
        <v>969</v>
      </c>
      <c r="B381">
        <v>30</v>
      </c>
      <c r="C381" t="s">
        <v>968</v>
      </c>
      <c r="D381" t="str">
        <f t="shared" si="5"/>
        <v>TO-s30-IMP</v>
      </c>
      <c r="E381" t="s">
        <v>424</v>
      </c>
      <c r="F381" t="s">
        <v>1421</v>
      </c>
      <c r="G381" t="s">
        <v>907</v>
      </c>
      <c r="H381" t="s">
        <v>481</v>
      </c>
      <c r="I381" t="s">
        <v>1089</v>
      </c>
    </row>
    <row r="382" spans="1:9" x14ac:dyDescent="0.25">
      <c r="A382" t="s">
        <v>969</v>
      </c>
      <c r="B382">
        <v>30</v>
      </c>
      <c r="C382" t="s">
        <v>968</v>
      </c>
      <c r="D382" t="str">
        <f t="shared" si="5"/>
        <v>TO-s30-IMP</v>
      </c>
      <c r="E382" t="s">
        <v>431</v>
      </c>
      <c r="F382" t="s">
        <v>1422</v>
      </c>
      <c r="G382" t="s">
        <v>1423</v>
      </c>
      <c r="H382" t="s">
        <v>794</v>
      </c>
      <c r="I382" t="s">
        <v>1092</v>
      </c>
    </row>
    <row r="383" spans="1:9" x14ac:dyDescent="0.25">
      <c r="A383" t="s">
        <v>969</v>
      </c>
      <c r="B383">
        <v>30</v>
      </c>
      <c r="C383" t="s">
        <v>968</v>
      </c>
      <c r="D383" t="str">
        <f t="shared" si="5"/>
        <v>TO-s30-IMP</v>
      </c>
      <c r="E383" t="s">
        <v>432</v>
      </c>
      <c r="F383" t="s">
        <v>1424</v>
      </c>
      <c r="G383" t="s">
        <v>1425</v>
      </c>
      <c r="H383" t="s">
        <v>1094</v>
      </c>
      <c r="I383" t="s">
        <v>1095</v>
      </c>
    </row>
    <row r="384" spans="1:9" x14ac:dyDescent="0.25">
      <c r="A384" t="s">
        <v>969</v>
      </c>
      <c r="B384">
        <v>30</v>
      </c>
      <c r="C384" t="s">
        <v>968</v>
      </c>
      <c r="D384" t="str">
        <f t="shared" si="5"/>
        <v>TO-s30-IMP</v>
      </c>
      <c r="E384" t="s">
        <v>433</v>
      </c>
      <c r="F384" t="s">
        <v>1426</v>
      </c>
      <c r="G384" t="s">
        <v>74</v>
      </c>
      <c r="H384" t="s">
        <v>438</v>
      </c>
      <c r="I384" t="s">
        <v>1098</v>
      </c>
    </row>
    <row r="385" spans="1:9" x14ac:dyDescent="0.25">
      <c r="A385" t="s">
        <v>969</v>
      </c>
      <c r="B385">
        <v>30</v>
      </c>
      <c r="C385" t="s">
        <v>968</v>
      </c>
      <c r="D385" t="str">
        <f t="shared" si="5"/>
        <v>TO-s30-IMP</v>
      </c>
      <c r="E385" t="s">
        <v>434</v>
      </c>
      <c r="F385" t="s">
        <v>1427</v>
      </c>
      <c r="G385" t="s">
        <v>1428</v>
      </c>
      <c r="H385" t="s">
        <v>218</v>
      </c>
      <c r="I385" t="s">
        <v>1101</v>
      </c>
    </row>
    <row r="386" spans="1:9" x14ac:dyDescent="0.25">
      <c r="A386" t="s">
        <v>969</v>
      </c>
      <c r="B386">
        <v>31</v>
      </c>
      <c r="C386" t="s">
        <v>968</v>
      </c>
      <c r="D386" t="str">
        <f t="shared" si="5"/>
        <v>TO-s31-IMP</v>
      </c>
      <c r="E386" t="s">
        <v>430</v>
      </c>
      <c r="F386" t="s">
        <v>1429</v>
      </c>
      <c r="G386" t="s">
        <v>1430</v>
      </c>
      <c r="H386" t="s">
        <v>1104</v>
      </c>
      <c r="I386" t="s">
        <v>1105</v>
      </c>
    </row>
    <row r="387" spans="1:9" x14ac:dyDescent="0.25">
      <c r="A387" t="s">
        <v>969</v>
      </c>
      <c r="B387">
        <v>31</v>
      </c>
      <c r="C387" t="s">
        <v>968</v>
      </c>
      <c r="D387" t="str">
        <f t="shared" si="5"/>
        <v>TO-s31-IMP</v>
      </c>
      <c r="E387" t="s">
        <v>424</v>
      </c>
      <c r="F387" t="s">
        <v>1431</v>
      </c>
      <c r="G387" t="s">
        <v>1103</v>
      </c>
      <c r="H387" t="s">
        <v>696</v>
      </c>
      <c r="I387" t="s">
        <v>1108</v>
      </c>
    </row>
    <row r="388" spans="1:9" x14ac:dyDescent="0.25">
      <c r="A388" t="s">
        <v>969</v>
      </c>
      <c r="B388">
        <v>31</v>
      </c>
      <c r="C388" t="s">
        <v>968</v>
      </c>
      <c r="D388" t="str">
        <f t="shared" si="5"/>
        <v>TO-s31-IMP</v>
      </c>
      <c r="E388" t="s">
        <v>431</v>
      </c>
      <c r="F388" t="s">
        <v>1432</v>
      </c>
      <c r="G388" t="s">
        <v>1433</v>
      </c>
      <c r="H388" t="s">
        <v>718</v>
      </c>
      <c r="I388" t="s">
        <v>1110</v>
      </c>
    </row>
    <row r="389" spans="1:9" x14ac:dyDescent="0.25">
      <c r="A389" t="s">
        <v>969</v>
      </c>
      <c r="B389">
        <v>31</v>
      </c>
      <c r="C389" t="s">
        <v>968</v>
      </c>
      <c r="D389" t="str">
        <f t="shared" si="5"/>
        <v>TO-s31-IMP</v>
      </c>
      <c r="E389" t="s">
        <v>432</v>
      </c>
      <c r="F389" t="s">
        <v>1434</v>
      </c>
      <c r="G389" t="s">
        <v>850</v>
      </c>
      <c r="H389" t="s">
        <v>696</v>
      </c>
      <c r="I389" t="s">
        <v>1113</v>
      </c>
    </row>
    <row r="390" spans="1:9" x14ac:dyDescent="0.25">
      <c r="A390" t="s">
        <v>969</v>
      </c>
      <c r="B390">
        <v>31</v>
      </c>
      <c r="C390" t="s">
        <v>968</v>
      </c>
      <c r="D390" t="str">
        <f t="shared" si="5"/>
        <v>TO-s31-IMP</v>
      </c>
      <c r="E390" t="s">
        <v>433</v>
      </c>
      <c r="F390" t="s">
        <v>1435</v>
      </c>
      <c r="G390" t="s">
        <v>1284</v>
      </c>
      <c r="H390" t="s">
        <v>835</v>
      </c>
      <c r="I390" t="s">
        <v>1116</v>
      </c>
    </row>
    <row r="391" spans="1:9" x14ac:dyDescent="0.25">
      <c r="A391" t="s">
        <v>969</v>
      </c>
      <c r="B391">
        <v>31</v>
      </c>
      <c r="C391" t="s">
        <v>968</v>
      </c>
      <c r="D391" t="str">
        <f t="shared" ref="D391:D409" si="9">_xlfn.CONCAT(A391,"-s",B391,"-",C391)</f>
        <v>TO-s31-IMP</v>
      </c>
      <c r="E391" t="s">
        <v>434</v>
      </c>
      <c r="F391" t="s">
        <v>1436</v>
      </c>
      <c r="G391" t="s">
        <v>1237</v>
      </c>
      <c r="H391" t="s">
        <v>580</v>
      </c>
      <c r="I391" t="s">
        <v>1119</v>
      </c>
    </row>
    <row r="392" spans="1:9" x14ac:dyDescent="0.25">
      <c r="A392" t="s">
        <v>969</v>
      </c>
      <c r="B392">
        <v>32</v>
      </c>
      <c r="C392" t="s">
        <v>968</v>
      </c>
      <c r="D392" t="str">
        <f t="shared" si="9"/>
        <v>TO-s32-IMP</v>
      </c>
      <c r="E392" t="s">
        <v>430</v>
      </c>
      <c r="F392" t="s">
        <v>1437</v>
      </c>
      <c r="G392" t="s">
        <v>1438</v>
      </c>
      <c r="H392" t="s">
        <v>1121</v>
      </c>
      <c r="I392" t="s">
        <v>1122</v>
      </c>
    </row>
    <row r="393" spans="1:9" x14ac:dyDescent="0.25">
      <c r="A393" t="s">
        <v>969</v>
      </c>
      <c r="B393">
        <v>32</v>
      </c>
      <c r="C393" t="s">
        <v>968</v>
      </c>
      <c r="D393" t="str">
        <f t="shared" si="9"/>
        <v>TO-s32-IMP</v>
      </c>
      <c r="E393" t="s">
        <v>424</v>
      </c>
      <c r="F393" t="s">
        <v>1439</v>
      </c>
      <c r="G393" t="s">
        <v>1440</v>
      </c>
      <c r="H393" t="s">
        <v>175</v>
      </c>
      <c r="I393" t="s">
        <v>1125</v>
      </c>
    </row>
    <row r="394" spans="1:9" x14ac:dyDescent="0.25">
      <c r="A394" t="s">
        <v>969</v>
      </c>
      <c r="B394">
        <v>32</v>
      </c>
      <c r="C394" t="s">
        <v>968</v>
      </c>
      <c r="D394" t="str">
        <f t="shared" si="9"/>
        <v>TO-s32-IMP</v>
      </c>
      <c r="E394" t="s">
        <v>431</v>
      </c>
      <c r="F394" t="s">
        <v>1441</v>
      </c>
      <c r="G394" t="s">
        <v>1442</v>
      </c>
      <c r="H394" t="s">
        <v>1128</v>
      </c>
      <c r="I394" t="s">
        <v>1129</v>
      </c>
    </row>
    <row r="395" spans="1:9" x14ac:dyDescent="0.25">
      <c r="A395" t="s">
        <v>969</v>
      </c>
      <c r="B395">
        <v>32</v>
      </c>
      <c r="C395" t="s">
        <v>968</v>
      </c>
      <c r="D395" t="str">
        <f t="shared" si="9"/>
        <v>TO-s32-IMP</v>
      </c>
      <c r="E395" t="s">
        <v>432</v>
      </c>
      <c r="F395" t="s">
        <v>1443</v>
      </c>
      <c r="G395" t="s">
        <v>1444</v>
      </c>
      <c r="H395" t="s">
        <v>1131</v>
      </c>
      <c r="I395" t="s">
        <v>1132</v>
      </c>
    </row>
    <row r="396" spans="1:9" x14ac:dyDescent="0.25">
      <c r="A396" t="s">
        <v>969</v>
      </c>
      <c r="B396">
        <v>32</v>
      </c>
      <c r="C396" t="s">
        <v>968</v>
      </c>
      <c r="D396" t="str">
        <f t="shared" si="9"/>
        <v>TO-s32-IMP</v>
      </c>
      <c r="E396" t="s">
        <v>433</v>
      </c>
      <c r="F396" t="s">
        <v>1445</v>
      </c>
      <c r="G396" t="s">
        <v>1401</v>
      </c>
      <c r="H396" t="s">
        <v>1135</v>
      </c>
      <c r="I396" t="s">
        <v>1136</v>
      </c>
    </row>
    <row r="397" spans="1:9" x14ac:dyDescent="0.25">
      <c r="A397" t="s">
        <v>969</v>
      </c>
      <c r="B397">
        <v>32</v>
      </c>
      <c r="C397" t="s">
        <v>968</v>
      </c>
      <c r="D397" t="str">
        <f t="shared" si="9"/>
        <v>TO-s32-IMP</v>
      </c>
      <c r="E397" t="s">
        <v>434</v>
      </c>
      <c r="F397" t="s">
        <v>1446</v>
      </c>
      <c r="G397" t="s">
        <v>1447</v>
      </c>
      <c r="H397" t="s">
        <v>794</v>
      </c>
      <c r="I397" t="s">
        <v>1138</v>
      </c>
    </row>
    <row r="398" spans="1:9" x14ac:dyDescent="0.25">
      <c r="A398" t="s">
        <v>969</v>
      </c>
      <c r="B398">
        <v>33</v>
      </c>
      <c r="C398" t="s">
        <v>968</v>
      </c>
      <c r="D398" t="str">
        <f t="shared" si="9"/>
        <v>TO-s33-IMP</v>
      </c>
      <c r="E398" t="s">
        <v>430</v>
      </c>
      <c r="F398" t="s">
        <v>1448</v>
      </c>
      <c r="G398" t="s">
        <v>1449</v>
      </c>
      <c r="H398" t="s">
        <v>861</v>
      </c>
      <c r="I398" t="s">
        <v>1140</v>
      </c>
    </row>
    <row r="399" spans="1:9" x14ac:dyDescent="0.25">
      <c r="A399" t="s">
        <v>969</v>
      </c>
      <c r="B399">
        <v>33</v>
      </c>
      <c r="C399" t="s">
        <v>968</v>
      </c>
      <c r="D399" t="str">
        <f t="shared" si="9"/>
        <v>TO-s33-IMP</v>
      </c>
      <c r="E399" t="s">
        <v>424</v>
      </c>
      <c r="F399" t="s">
        <v>1457</v>
      </c>
      <c r="G399" t="s">
        <v>1450</v>
      </c>
      <c r="H399" t="s">
        <v>1143</v>
      </c>
      <c r="I399" t="s">
        <v>1144</v>
      </c>
    </row>
    <row r="400" spans="1:9" x14ac:dyDescent="0.25">
      <c r="A400" t="s">
        <v>969</v>
      </c>
      <c r="B400">
        <v>33</v>
      </c>
      <c r="C400" t="s">
        <v>968</v>
      </c>
      <c r="D400" t="str">
        <f t="shared" si="9"/>
        <v>TO-s33-IMP</v>
      </c>
      <c r="E400" t="s">
        <v>431</v>
      </c>
      <c r="F400" t="s">
        <v>1458</v>
      </c>
      <c r="G400" t="s">
        <v>1451</v>
      </c>
      <c r="H400" t="s">
        <v>594</v>
      </c>
      <c r="I400" t="s">
        <v>1147</v>
      </c>
    </row>
    <row r="401" spans="1:9" x14ac:dyDescent="0.25">
      <c r="A401" t="s">
        <v>969</v>
      </c>
      <c r="B401">
        <v>33</v>
      </c>
      <c r="C401" t="s">
        <v>968</v>
      </c>
      <c r="D401" t="str">
        <f t="shared" si="9"/>
        <v>TO-s33-IMP</v>
      </c>
      <c r="E401" t="s">
        <v>432</v>
      </c>
      <c r="F401" t="s">
        <v>1456</v>
      </c>
      <c r="G401" t="s">
        <v>1452</v>
      </c>
      <c r="H401" t="s">
        <v>939</v>
      </c>
      <c r="I401" t="s">
        <v>1149</v>
      </c>
    </row>
    <row r="402" spans="1:9" x14ac:dyDescent="0.25">
      <c r="A402" t="s">
        <v>969</v>
      </c>
      <c r="B402">
        <v>33</v>
      </c>
      <c r="C402" t="s">
        <v>968</v>
      </c>
      <c r="D402" t="str">
        <f t="shared" si="9"/>
        <v>TO-s33-IMP</v>
      </c>
      <c r="E402" t="s">
        <v>433</v>
      </c>
      <c r="F402" t="s">
        <v>1455</v>
      </c>
      <c r="G402" t="s">
        <v>1453</v>
      </c>
      <c r="H402" t="s">
        <v>438</v>
      </c>
      <c r="I402" t="s">
        <v>1151</v>
      </c>
    </row>
    <row r="403" spans="1:9" x14ac:dyDescent="0.25">
      <c r="A403" t="s">
        <v>969</v>
      </c>
      <c r="B403">
        <v>33</v>
      </c>
      <c r="C403" t="s">
        <v>968</v>
      </c>
      <c r="D403" t="str">
        <f t="shared" si="9"/>
        <v>TO-s33-IMP</v>
      </c>
      <c r="E403" t="s">
        <v>434</v>
      </c>
      <c r="F403" t="s">
        <v>1454</v>
      </c>
      <c r="G403" t="s">
        <v>1459</v>
      </c>
      <c r="H403" t="s">
        <v>466</v>
      </c>
      <c r="I403" t="s">
        <v>1153</v>
      </c>
    </row>
    <row r="404" spans="1:9" x14ac:dyDescent="0.25">
      <c r="A404" t="s">
        <v>969</v>
      </c>
      <c r="B404">
        <v>34</v>
      </c>
      <c r="C404" t="s">
        <v>968</v>
      </c>
      <c r="D404" t="str">
        <f t="shared" si="9"/>
        <v>TO-s34-IMP</v>
      </c>
      <c r="E404" t="s">
        <v>430</v>
      </c>
      <c r="F404" t="s">
        <v>1460</v>
      </c>
      <c r="G404" t="s">
        <v>203</v>
      </c>
      <c r="H404" t="s">
        <v>839</v>
      </c>
      <c r="I404" t="s">
        <v>1155</v>
      </c>
    </row>
    <row r="405" spans="1:9" x14ac:dyDescent="0.25">
      <c r="A405" t="s">
        <v>969</v>
      </c>
      <c r="B405">
        <v>34</v>
      </c>
      <c r="C405" t="s">
        <v>968</v>
      </c>
      <c r="D405" t="str">
        <f t="shared" si="9"/>
        <v>TO-s34-IMP</v>
      </c>
      <c r="E405" t="s">
        <v>424</v>
      </c>
      <c r="F405" t="s">
        <v>1461</v>
      </c>
      <c r="G405" t="s">
        <v>1462</v>
      </c>
      <c r="H405" t="s">
        <v>1157</v>
      </c>
      <c r="I405" t="s">
        <v>1158</v>
      </c>
    </row>
    <row r="406" spans="1:9" x14ac:dyDescent="0.25">
      <c r="A406" t="s">
        <v>969</v>
      </c>
      <c r="B406">
        <v>34</v>
      </c>
      <c r="C406" t="s">
        <v>968</v>
      </c>
      <c r="D406" t="str">
        <f t="shared" si="9"/>
        <v>TO-s34-IMP</v>
      </c>
      <c r="E406" t="s">
        <v>431</v>
      </c>
      <c r="F406" t="s">
        <v>1463</v>
      </c>
      <c r="G406" t="s">
        <v>1464</v>
      </c>
      <c r="H406" t="s">
        <v>1157</v>
      </c>
      <c r="I406" t="s">
        <v>1161</v>
      </c>
    </row>
    <row r="407" spans="1:9" x14ac:dyDescent="0.25">
      <c r="A407" t="s">
        <v>969</v>
      </c>
      <c r="B407">
        <v>34</v>
      </c>
      <c r="C407" t="s">
        <v>968</v>
      </c>
      <c r="D407" t="str">
        <f t="shared" si="9"/>
        <v>TO-s34-IMP</v>
      </c>
      <c r="E407" t="s">
        <v>432</v>
      </c>
      <c r="F407" t="s">
        <v>1465</v>
      </c>
      <c r="G407" t="s">
        <v>1466</v>
      </c>
      <c r="H407" t="s">
        <v>1135</v>
      </c>
      <c r="I407" t="s">
        <v>1467</v>
      </c>
    </row>
    <row r="408" spans="1:9" x14ac:dyDescent="0.25">
      <c r="A408" t="s">
        <v>969</v>
      </c>
      <c r="B408">
        <v>34</v>
      </c>
      <c r="C408" t="s">
        <v>968</v>
      </c>
      <c r="D408" t="str">
        <f t="shared" si="9"/>
        <v>TO-s34-IMP</v>
      </c>
      <c r="E408" t="s">
        <v>433</v>
      </c>
      <c r="F408" t="s">
        <v>1468</v>
      </c>
      <c r="G408" t="s">
        <v>1469</v>
      </c>
      <c r="H408" t="s">
        <v>1135</v>
      </c>
      <c r="I408" t="s">
        <v>1167</v>
      </c>
    </row>
    <row r="409" spans="1:9" x14ac:dyDescent="0.25">
      <c r="A409" t="s">
        <v>969</v>
      </c>
      <c r="B409">
        <v>34</v>
      </c>
      <c r="C409" t="s">
        <v>968</v>
      </c>
      <c r="D409" t="str">
        <f t="shared" si="9"/>
        <v>TO-s34-IMP</v>
      </c>
      <c r="E409" t="s">
        <v>434</v>
      </c>
      <c r="F409" t="s">
        <v>1470</v>
      </c>
      <c r="G409" t="s">
        <v>1471</v>
      </c>
      <c r="H409" t="s">
        <v>842</v>
      </c>
      <c r="I409" t="s">
        <v>1170</v>
      </c>
    </row>
  </sheetData>
  <hyperlinks>
    <hyperlink ref="F1" r:id="rId1" xr:uid="{2674AFF8-3EE6-404D-9DAC-B7E8C9F38E0E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EFA39-5D96-4259-A1EE-44E9BC9B401F}">
  <dimension ref="A8:V80"/>
  <sheetViews>
    <sheetView tabSelected="1" topLeftCell="A75" zoomScale="145" zoomScaleNormal="145" workbookViewId="0">
      <selection activeCell="C80" sqref="C80"/>
    </sheetView>
  </sheetViews>
  <sheetFormatPr defaultRowHeight="15" x14ac:dyDescent="0.25"/>
  <cols>
    <col min="2" max="2" width="14.42578125" customWidth="1"/>
    <col min="3" max="3" width="74.28515625" bestFit="1" customWidth="1"/>
    <col min="15" max="15" width="10.5703125" bestFit="1" customWidth="1"/>
  </cols>
  <sheetData>
    <row r="8" spans="1:22" ht="22.5" x14ac:dyDescent="0.25">
      <c r="A8">
        <v>34</v>
      </c>
      <c r="B8" t="s">
        <v>1476</v>
      </c>
      <c r="C8" s="6" t="str">
        <f t="shared" ref="C8:C10" si="0">_xlfn.CONCAT("// TIEMPO ORDINARIO - SEMANA ",A8," ",B8)</f>
        <v>// TIEMPO ORDINARIO - SEMANA 34 LUNES</v>
      </c>
    </row>
    <row r="9" spans="1:22" ht="22.5" x14ac:dyDescent="0.25">
      <c r="A9">
        <f>A8</f>
        <v>34</v>
      </c>
      <c r="B9" t="s">
        <v>1477</v>
      </c>
      <c r="C9" s="6" t="str">
        <f t="shared" si="0"/>
        <v>// TIEMPO ORDINARIO - SEMANA 34 MARTES</v>
      </c>
    </row>
    <row r="10" spans="1:22" ht="22.5" x14ac:dyDescent="0.25">
      <c r="A10">
        <f t="shared" ref="A10:A13" si="1">A9</f>
        <v>34</v>
      </c>
      <c r="B10" t="s">
        <v>1475</v>
      </c>
      <c r="C10" s="6" t="str">
        <f t="shared" si="0"/>
        <v>// TIEMPO ORDINARIO - SEMANA 34 MIERCOLES</v>
      </c>
      <c r="V10" s="9" t="s">
        <v>1476</v>
      </c>
    </row>
    <row r="11" spans="1:22" ht="22.5" x14ac:dyDescent="0.25">
      <c r="A11">
        <f t="shared" si="1"/>
        <v>34</v>
      </c>
      <c r="B11" t="s">
        <v>1472</v>
      </c>
      <c r="C11" s="6" t="str">
        <f>_xlfn.CONCAT("// TIEMPO ORDINARIO - SEMANA ",A11," ",B11)</f>
        <v>// TIEMPO ORDINARIO - SEMANA 34 JUEVES</v>
      </c>
      <c r="V11" s="9" t="s">
        <v>1477</v>
      </c>
    </row>
    <row r="12" spans="1:22" ht="22.5" x14ac:dyDescent="0.25">
      <c r="A12">
        <f t="shared" si="1"/>
        <v>34</v>
      </c>
      <c r="B12" t="s">
        <v>1473</v>
      </c>
      <c r="C12" s="6" t="str">
        <f t="shared" ref="C12:C13" si="2">_xlfn.CONCAT("// TIEMPO ORDINARIO - SEMANA ",A12," ",B12)</f>
        <v>// TIEMPO ORDINARIO - SEMANA 34 VIERNES</v>
      </c>
      <c r="V12" s="9" t="s">
        <v>1475</v>
      </c>
    </row>
    <row r="13" spans="1:22" ht="22.5" x14ac:dyDescent="0.25">
      <c r="A13">
        <f t="shared" si="1"/>
        <v>34</v>
      </c>
      <c r="B13" t="s">
        <v>1474</v>
      </c>
      <c r="C13" s="6" t="str">
        <f t="shared" si="2"/>
        <v>// TIEMPO ORDINARIO - SEMANA 34 SABADO</v>
      </c>
      <c r="N13" t="s">
        <v>1478</v>
      </c>
      <c r="V13" s="9" t="s">
        <v>1472</v>
      </c>
    </row>
    <row r="14" spans="1:22" ht="22.5" x14ac:dyDescent="0.25">
      <c r="A14">
        <f t="shared" ref="A14" si="3">A13</f>
        <v>34</v>
      </c>
      <c r="B14" t="s">
        <v>1479</v>
      </c>
      <c r="C14" s="6" t="str">
        <f t="shared" ref="C14" si="4">_xlfn.CONCAT("// TIEMPO ORDINARIO - SEMANA ",A14," ",B14)</f>
        <v>// TIEMPO ORDINARIO - SEMANA 34 DOMINGO</v>
      </c>
      <c r="V14" s="9" t="s">
        <v>1473</v>
      </c>
    </row>
    <row r="15" spans="1:22" x14ac:dyDescent="0.25">
      <c r="M15" t="s">
        <v>1478</v>
      </c>
    </row>
    <row r="16" spans="1:22" ht="22.5" x14ac:dyDescent="0.25">
      <c r="A16">
        <v>1</v>
      </c>
      <c r="B16" t="s">
        <v>1476</v>
      </c>
      <c r="C16" s="6" t="str">
        <f>_xlfn.CONCAT("// TIEMPO DE CUARESMA - SEMANA ",A16," ",B16)</f>
        <v>// TIEMPO DE CUARESMA - SEMANA 1 LUNES</v>
      </c>
    </row>
    <row r="17" spans="1:22" ht="22.5" x14ac:dyDescent="0.25">
      <c r="A17">
        <f>A16</f>
        <v>1</v>
      </c>
      <c r="B17" t="s">
        <v>1477</v>
      </c>
      <c r="C17" s="6" t="str">
        <f t="shared" ref="C17:C21" si="5">_xlfn.CONCAT("// TIEMPO DE CUARESMA - SEMANA ",A17," ",B17)</f>
        <v>// TIEMPO DE CUARESMA - SEMANA 1 MARTES</v>
      </c>
      <c r="M17">
        <v>456.43</v>
      </c>
      <c r="N17">
        <v>61.1</v>
      </c>
      <c r="O17" s="7">
        <f>+N17*M17</f>
        <v>27887.873</v>
      </c>
    </row>
    <row r="18" spans="1:22" ht="22.5" x14ac:dyDescent="0.25">
      <c r="A18">
        <f t="shared" ref="A18:A21" si="6">A17</f>
        <v>1</v>
      </c>
      <c r="B18" t="s">
        <v>1475</v>
      </c>
      <c r="C18" s="6" t="str">
        <f t="shared" si="5"/>
        <v>// TIEMPO DE CUARESMA - SEMANA 1 MIERCOLES</v>
      </c>
      <c r="M18">
        <f>+O18/N18</f>
        <v>98.199672667757767</v>
      </c>
      <c r="N18">
        <v>61.1</v>
      </c>
      <c r="O18">
        <v>6000</v>
      </c>
    </row>
    <row r="19" spans="1:22" ht="22.5" x14ac:dyDescent="0.25">
      <c r="A19">
        <f t="shared" si="6"/>
        <v>1</v>
      </c>
      <c r="B19" t="s">
        <v>1472</v>
      </c>
      <c r="C19" s="6" t="str">
        <f t="shared" si="5"/>
        <v>// TIEMPO DE CUARESMA - SEMANA 1 JUEVES</v>
      </c>
      <c r="M19">
        <f>+M17-M18</f>
        <v>358.23032733224227</v>
      </c>
      <c r="O19" s="8">
        <f>+O17-O18</f>
        <v>21887.873</v>
      </c>
    </row>
    <row r="20" spans="1:22" ht="22.5" x14ac:dyDescent="0.25">
      <c r="A20">
        <f t="shared" si="6"/>
        <v>1</v>
      </c>
      <c r="B20" t="s">
        <v>1473</v>
      </c>
      <c r="C20" s="6" t="str">
        <f t="shared" si="5"/>
        <v>// TIEMPO DE CUARESMA - SEMANA 1 VIERNES</v>
      </c>
    </row>
    <row r="21" spans="1:22" ht="22.5" x14ac:dyDescent="0.25">
      <c r="A21">
        <f t="shared" si="6"/>
        <v>1</v>
      </c>
      <c r="B21" t="s">
        <v>1474</v>
      </c>
      <c r="C21" s="6" t="str">
        <f t="shared" si="5"/>
        <v>// TIEMPO DE CUARESMA - SEMANA 1 SABADO</v>
      </c>
    </row>
    <row r="25" spans="1:22" ht="22.5" x14ac:dyDescent="0.25">
      <c r="A25">
        <v>1</v>
      </c>
      <c r="B25" t="s">
        <v>1479</v>
      </c>
      <c r="C25" s="6" t="str">
        <f t="shared" ref="C25" si="7">_xlfn.CONCAT("// TIEMPO ORDINARIO - SEMANA ",A25," ",B25)</f>
        <v>// TIEMPO ORDINARIO - SEMANA 1 DOMINGO</v>
      </c>
      <c r="V25" s="9" t="s">
        <v>1473</v>
      </c>
    </row>
    <row r="26" spans="1:22" ht="22.5" x14ac:dyDescent="0.25">
      <c r="A26">
        <f>+A25+1</f>
        <v>2</v>
      </c>
      <c r="B26" t="s">
        <v>1479</v>
      </c>
      <c r="C26" s="6" t="str">
        <f t="shared" ref="C26:C58" si="8">_xlfn.CONCAT("// TIEMPO ORDINARIO - SEMANA ",A26," ",B26)</f>
        <v>// TIEMPO ORDINARIO - SEMANA 2 DOMINGO</v>
      </c>
    </row>
    <row r="27" spans="1:22" ht="22.5" x14ac:dyDescent="0.25">
      <c r="A27">
        <f t="shared" ref="A27:A58" si="9">+A26+1</f>
        <v>3</v>
      </c>
      <c r="B27" t="s">
        <v>1479</v>
      </c>
      <c r="C27" s="6" t="str">
        <f t="shared" si="8"/>
        <v>// TIEMPO ORDINARIO - SEMANA 3 DOMINGO</v>
      </c>
    </row>
    <row r="28" spans="1:22" ht="22.5" x14ac:dyDescent="0.25">
      <c r="A28">
        <f t="shared" si="9"/>
        <v>4</v>
      </c>
      <c r="B28" t="s">
        <v>1479</v>
      </c>
      <c r="C28" s="6" t="str">
        <f t="shared" si="8"/>
        <v>// TIEMPO ORDINARIO - SEMANA 4 DOMINGO</v>
      </c>
    </row>
    <row r="29" spans="1:22" ht="22.5" x14ac:dyDescent="0.25">
      <c r="A29">
        <f t="shared" si="9"/>
        <v>5</v>
      </c>
      <c r="B29" t="s">
        <v>1479</v>
      </c>
      <c r="C29" s="6" t="str">
        <f t="shared" si="8"/>
        <v>// TIEMPO ORDINARIO - SEMANA 5 DOMINGO</v>
      </c>
    </row>
    <row r="30" spans="1:22" ht="22.5" x14ac:dyDescent="0.25">
      <c r="A30">
        <f t="shared" si="9"/>
        <v>6</v>
      </c>
      <c r="B30" t="s">
        <v>1479</v>
      </c>
      <c r="C30" s="6" t="str">
        <f t="shared" si="8"/>
        <v>// TIEMPO ORDINARIO - SEMANA 6 DOMINGO</v>
      </c>
    </row>
    <row r="31" spans="1:22" ht="22.5" x14ac:dyDescent="0.25">
      <c r="A31">
        <f t="shared" si="9"/>
        <v>7</v>
      </c>
      <c r="B31" t="s">
        <v>1479</v>
      </c>
      <c r="C31" s="6" t="str">
        <f t="shared" si="8"/>
        <v>// TIEMPO ORDINARIO - SEMANA 7 DOMINGO</v>
      </c>
    </row>
    <row r="32" spans="1:22" ht="22.5" x14ac:dyDescent="0.25">
      <c r="A32">
        <f t="shared" si="9"/>
        <v>8</v>
      </c>
      <c r="B32" t="s">
        <v>1479</v>
      </c>
      <c r="C32" s="6" t="str">
        <f t="shared" si="8"/>
        <v>// TIEMPO ORDINARIO - SEMANA 8 DOMINGO</v>
      </c>
    </row>
    <row r="33" spans="1:3" ht="22.5" x14ac:dyDescent="0.25">
      <c r="A33">
        <f t="shared" si="9"/>
        <v>9</v>
      </c>
      <c r="B33" t="s">
        <v>1479</v>
      </c>
      <c r="C33" s="6" t="str">
        <f t="shared" si="8"/>
        <v>// TIEMPO ORDINARIO - SEMANA 9 DOMINGO</v>
      </c>
    </row>
    <row r="34" spans="1:3" ht="22.5" x14ac:dyDescent="0.25">
      <c r="A34">
        <f t="shared" si="9"/>
        <v>10</v>
      </c>
      <c r="B34" t="s">
        <v>1479</v>
      </c>
      <c r="C34" s="6" t="str">
        <f t="shared" si="8"/>
        <v>// TIEMPO ORDINARIO - SEMANA 10 DOMINGO</v>
      </c>
    </row>
    <row r="35" spans="1:3" ht="22.5" x14ac:dyDescent="0.25">
      <c r="A35">
        <f t="shared" si="9"/>
        <v>11</v>
      </c>
      <c r="B35" t="s">
        <v>1479</v>
      </c>
      <c r="C35" s="6" t="str">
        <f t="shared" si="8"/>
        <v>// TIEMPO ORDINARIO - SEMANA 11 DOMINGO</v>
      </c>
    </row>
    <row r="36" spans="1:3" ht="22.5" x14ac:dyDescent="0.25">
      <c r="A36">
        <f t="shared" si="9"/>
        <v>12</v>
      </c>
      <c r="B36" t="s">
        <v>1479</v>
      </c>
      <c r="C36" s="6" t="str">
        <f t="shared" si="8"/>
        <v>// TIEMPO ORDINARIO - SEMANA 12 DOMINGO</v>
      </c>
    </row>
    <row r="37" spans="1:3" ht="22.5" x14ac:dyDescent="0.25">
      <c r="A37">
        <f t="shared" si="9"/>
        <v>13</v>
      </c>
      <c r="B37" t="s">
        <v>1479</v>
      </c>
      <c r="C37" s="6" t="str">
        <f t="shared" si="8"/>
        <v>// TIEMPO ORDINARIO - SEMANA 13 DOMINGO</v>
      </c>
    </row>
    <row r="38" spans="1:3" ht="22.5" x14ac:dyDescent="0.25">
      <c r="A38">
        <f t="shared" si="9"/>
        <v>14</v>
      </c>
      <c r="B38" t="s">
        <v>1479</v>
      </c>
      <c r="C38" s="6" t="str">
        <f t="shared" si="8"/>
        <v>// TIEMPO ORDINARIO - SEMANA 14 DOMINGO</v>
      </c>
    </row>
    <row r="39" spans="1:3" ht="22.5" x14ac:dyDescent="0.25">
      <c r="A39">
        <f t="shared" si="9"/>
        <v>15</v>
      </c>
      <c r="B39" t="s">
        <v>1479</v>
      </c>
      <c r="C39" s="6" t="str">
        <f t="shared" si="8"/>
        <v>// TIEMPO ORDINARIO - SEMANA 15 DOMINGO</v>
      </c>
    </row>
    <row r="40" spans="1:3" ht="22.5" x14ac:dyDescent="0.25">
      <c r="A40">
        <f t="shared" si="9"/>
        <v>16</v>
      </c>
      <c r="B40" t="s">
        <v>1479</v>
      </c>
      <c r="C40" s="6" t="str">
        <f t="shared" si="8"/>
        <v>// TIEMPO ORDINARIO - SEMANA 16 DOMINGO</v>
      </c>
    </row>
    <row r="41" spans="1:3" ht="22.5" x14ac:dyDescent="0.25">
      <c r="A41">
        <f t="shared" si="9"/>
        <v>17</v>
      </c>
      <c r="B41" t="s">
        <v>1479</v>
      </c>
      <c r="C41" s="6" t="str">
        <f t="shared" si="8"/>
        <v>// TIEMPO ORDINARIO - SEMANA 17 DOMINGO</v>
      </c>
    </row>
    <row r="42" spans="1:3" ht="22.5" x14ac:dyDescent="0.25">
      <c r="A42">
        <f t="shared" si="9"/>
        <v>18</v>
      </c>
      <c r="B42" t="s">
        <v>1479</v>
      </c>
      <c r="C42" s="6" t="str">
        <f t="shared" si="8"/>
        <v>// TIEMPO ORDINARIO - SEMANA 18 DOMINGO</v>
      </c>
    </row>
    <row r="43" spans="1:3" ht="22.5" x14ac:dyDescent="0.25">
      <c r="A43">
        <f t="shared" si="9"/>
        <v>19</v>
      </c>
      <c r="B43" t="s">
        <v>1479</v>
      </c>
      <c r="C43" s="6" t="str">
        <f t="shared" si="8"/>
        <v>// TIEMPO ORDINARIO - SEMANA 19 DOMINGO</v>
      </c>
    </row>
    <row r="44" spans="1:3" ht="22.5" x14ac:dyDescent="0.25">
      <c r="A44">
        <f t="shared" si="9"/>
        <v>20</v>
      </c>
      <c r="B44" t="s">
        <v>1479</v>
      </c>
      <c r="C44" s="6" t="str">
        <f t="shared" si="8"/>
        <v>// TIEMPO ORDINARIO - SEMANA 20 DOMINGO</v>
      </c>
    </row>
    <row r="45" spans="1:3" ht="22.5" x14ac:dyDescent="0.25">
      <c r="A45">
        <f t="shared" si="9"/>
        <v>21</v>
      </c>
      <c r="B45" t="s">
        <v>1479</v>
      </c>
      <c r="C45" s="6" t="str">
        <f t="shared" si="8"/>
        <v>// TIEMPO ORDINARIO - SEMANA 21 DOMINGO</v>
      </c>
    </row>
    <row r="46" spans="1:3" ht="22.5" x14ac:dyDescent="0.25">
      <c r="A46">
        <f t="shared" si="9"/>
        <v>22</v>
      </c>
      <c r="B46" t="s">
        <v>1479</v>
      </c>
      <c r="C46" s="6" t="str">
        <f t="shared" si="8"/>
        <v>// TIEMPO ORDINARIO - SEMANA 22 DOMINGO</v>
      </c>
    </row>
    <row r="47" spans="1:3" ht="22.5" x14ac:dyDescent="0.25">
      <c r="A47">
        <f t="shared" si="9"/>
        <v>23</v>
      </c>
      <c r="B47" t="s">
        <v>1479</v>
      </c>
      <c r="C47" s="6" t="str">
        <f t="shared" si="8"/>
        <v>// TIEMPO ORDINARIO - SEMANA 23 DOMINGO</v>
      </c>
    </row>
    <row r="48" spans="1:3" ht="22.5" x14ac:dyDescent="0.25">
      <c r="A48">
        <f t="shared" si="9"/>
        <v>24</v>
      </c>
      <c r="B48" t="s">
        <v>1479</v>
      </c>
      <c r="C48" s="6" t="str">
        <f t="shared" si="8"/>
        <v>// TIEMPO ORDINARIO - SEMANA 24 DOMINGO</v>
      </c>
    </row>
    <row r="49" spans="1:3" ht="22.5" x14ac:dyDescent="0.25">
      <c r="A49">
        <f t="shared" si="9"/>
        <v>25</v>
      </c>
      <c r="B49" t="s">
        <v>1479</v>
      </c>
      <c r="C49" s="6" t="str">
        <f t="shared" si="8"/>
        <v>// TIEMPO ORDINARIO - SEMANA 25 DOMINGO</v>
      </c>
    </row>
    <row r="50" spans="1:3" ht="22.5" x14ac:dyDescent="0.25">
      <c r="A50">
        <f t="shared" si="9"/>
        <v>26</v>
      </c>
      <c r="B50" t="s">
        <v>1479</v>
      </c>
      <c r="C50" s="6" t="str">
        <f t="shared" si="8"/>
        <v>// TIEMPO ORDINARIO - SEMANA 26 DOMINGO</v>
      </c>
    </row>
    <row r="51" spans="1:3" ht="22.5" x14ac:dyDescent="0.25">
      <c r="A51">
        <f t="shared" si="9"/>
        <v>27</v>
      </c>
      <c r="B51" t="s">
        <v>1479</v>
      </c>
      <c r="C51" s="6" t="str">
        <f t="shared" si="8"/>
        <v>// TIEMPO ORDINARIO - SEMANA 27 DOMINGO</v>
      </c>
    </row>
    <row r="52" spans="1:3" ht="22.5" x14ac:dyDescent="0.25">
      <c r="A52">
        <f t="shared" si="9"/>
        <v>28</v>
      </c>
      <c r="B52" t="s">
        <v>1479</v>
      </c>
      <c r="C52" s="6" t="str">
        <f t="shared" si="8"/>
        <v>// TIEMPO ORDINARIO - SEMANA 28 DOMINGO</v>
      </c>
    </row>
    <row r="53" spans="1:3" ht="22.5" x14ac:dyDescent="0.25">
      <c r="A53">
        <f t="shared" si="9"/>
        <v>29</v>
      </c>
      <c r="B53" t="s">
        <v>1479</v>
      </c>
      <c r="C53" s="6" t="str">
        <f t="shared" si="8"/>
        <v>// TIEMPO ORDINARIO - SEMANA 29 DOMINGO</v>
      </c>
    </row>
    <row r="54" spans="1:3" ht="22.5" x14ac:dyDescent="0.25">
      <c r="A54">
        <f t="shared" si="9"/>
        <v>30</v>
      </c>
      <c r="B54" t="s">
        <v>1479</v>
      </c>
      <c r="C54" s="6" t="str">
        <f t="shared" si="8"/>
        <v>// TIEMPO ORDINARIO - SEMANA 30 DOMINGO</v>
      </c>
    </row>
    <row r="55" spans="1:3" ht="22.5" x14ac:dyDescent="0.25">
      <c r="A55">
        <f t="shared" si="9"/>
        <v>31</v>
      </c>
      <c r="B55" t="s">
        <v>1479</v>
      </c>
      <c r="C55" s="6" t="str">
        <f t="shared" si="8"/>
        <v>// TIEMPO ORDINARIO - SEMANA 31 DOMINGO</v>
      </c>
    </row>
    <row r="56" spans="1:3" ht="22.5" x14ac:dyDescent="0.25">
      <c r="A56">
        <f t="shared" si="9"/>
        <v>32</v>
      </c>
      <c r="B56" t="s">
        <v>1479</v>
      </c>
      <c r="C56" s="6" t="str">
        <f t="shared" si="8"/>
        <v>// TIEMPO ORDINARIO - SEMANA 32 DOMINGO</v>
      </c>
    </row>
    <row r="57" spans="1:3" ht="22.5" x14ac:dyDescent="0.25">
      <c r="A57">
        <f t="shared" si="9"/>
        <v>33</v>
      </c>
      <c r="B57" t="s">
        <v>1479</v>
      </c>
      <c r="C57" s="6" t="str">
        <f t="shared" si="8"/>
        <v>// TIEMPO ORDINARIO - SEMANA 33 DOMINGO</v>
      </c>
    </row>
    <row r="58" spans="1:3" ht="22.5" x14ac:dyDescent="0.25">
      <c r="A58">
        <f t="shared" si="9"/>
        <v>34</v>
      </c>
      <c r="B58" t="s">
        <v>1479</v>
      </c>
      <c r="C58" s="6" t="str">
        <f t="shared" si="8"/>
        <v>// TIEMPO ORDINARIO - SEMANA 34 DOMINGO</v>
      </c>
    </row>
    <row r="59" spans="1:3" ht="22.5" x14ac:dyDescent="0.25">
      <c r="C59" s="6"/>
    </row>
    <row r="60" spans="1:3" ht="22.5" x14ac:dyDescent="0.25">
      <c r="A60">
        <v>1</v>
      </c>
      <c r="B60" t="s">
        <v>1479</v>
      </c>
      <c r="C60" s="6" t="str">
        <f>_xlfn.CONCAT("// TIEMPO ADVIENTO - SEMANA ",A60," ",B60)</f>
        <v>// TIEMPO ADVIENTO - SEMANA 1 DOMINGO</v>
      </c>
    </row>
    <row r="61" spans="1:3" ht="22.5" x14ac:dyDescent="0.25">
      <c r="A61">
        <f>+A60+1</f>
        <v>2</v>
      </c>
      <c r="B61" t="s">
        <v>1479</v>
      </c>
      <c r="C61" s="6" t="str">
        <f t="shared" ref="C61:C72" si="10">_xlfn.CONCAT("// TIEMPO ADVIENTO - SEMANA ",A61," ",B61)</f>
        <v>// TIEMPO ADVIENTO - SEMANA 2 DOMINGO</v>
      </c>
    </row>
    <row r="62" spans="1:3" ht="22.5" x14ac:dyDescent="0.25">
      <c r="A62">
        <f t="shared" ref="A62:A72" si="11">+A61+1</f>
        <v>3</v>
      </c>
      <c r="B62" t="s">
        <v>1479</v>
      </c>
      <c r="C62" s="6" t="str">
        <f t="shared" si="10"/>
        <v>// TIEMPO ADVIENTO - SEMANA 3 DOMINGO</v>
      </c>
    </row>
    <row r="63" spans="1:3" ht="22.5" x14ac:dyDescent="0.25">
      <c r="A63">
        <f t="shared" si="11"/>
        <v>4</v>
      </c>
      <c r="B63" t="s">
        <v>1479</v>
      </c>
      <c r="C63" s="6" t="str">
        <f t="shared" si="10"/>
        <v>// TIEMPO ADVIENTO - SEMANA 4 DOMINGO</v>
      </c>
    </row>
    <row r="64" spans="1:3" ht="22.5" x14ac:dyDescent="0.25">
      <c r="A64">
        <f t="shared" si="11"/>
        <v>5</v>
      </c>
      <c r="B64" t="s">
        <v>1479</v>
      </c>
      <c r="C64" s="6" t="str">
        <f t="shared" si="10"/>
        <v>// TIEMPO ADVIENTO - SEMANA 5 DOMINGO</v>
      </c>
    </row>
    <row r="65" spans="1:3" ht="22.5" x14ac:dyDescent="0.25">
      <c r="A65">
        <f t="shared" si="11"/>
        <v>6</v>
      </c>
      <c r="B65" t="s">
        <v>1479</v>
      </c>
      <c r="C65" s="6" t="str">
        <f t="shared" si="10"/>
        <v>// TIEMPO ADVIENTO - SEMANA 6 DOMINGO</v>
      </c>
    </row>
    <row r="66" spans="1:3" ht="22.5" x14ac:dyDescent="0.25">
      <c r="A66">
        <f t="shared" si="11"/>
        <v>7</v>
      </c>
      <c r="B66" t="s">
        <v>1479</v>
      </c>
      <c r="C66" s="6" t="str">
        <f t="shared" si="10"/>
        <v>// TIEMPO ADVIENTO - SEMANA 7 DOMINGO</v>
      </c>
    </row>
    <row r="67" spans="1:3" ht="22.5" x14ac:dyDescent="0.25">
      <c r="A67">
        <f t="shared" si="11"/>
        <v>8</v>
      </c>
      <c r="B67" t="s">
        <v>1479</v>
      </c>
      <c r="C67" s="6" t="str">
        <f t="shared" si="10"/>
        <v>// TIEMPO ADVIENTO - SEMANA 8 DOMINGO</v>
      </c>
    </row>
    <row r="68" spans="1:3" ht="22.5" x14ac:dyDescent="0.25">
      <c r="A68">
        <f t="shared" si="11"/>
        <v>9</v>
      </c>
      <c r="B68" t="s">
        <v>1479</v>
      </c>
      <c r="C68" s="6" t="str">
        <f t="shared" si="10"/>
        <v>// TIEMPO ADVIENTO - SEMANA 9 DOMINGO</v>
      </c>
    </row>
    <row r="69" spans="1:3" ht="22.5" x14ac:dyDescent="0.25">
      <c r="A69">
        <f t="shared" si="11"/>
        <v>10</v>
      </c>
      <c r="B69" t="s">
        <v>1479</v>
      </c>
      <c r="C69" s="6" t="str">
        <f t="shared" si="10"/>
        <v>// TIEMPO ADVIENTO - SEMANA 10 DOMINGO</v>
      </c>
    </row>
    <row r="70" spans="1:3" ht="22.5" x14ac:dyDescent="0.25">
      <c r="A70">
        <f t="shared" si="11"/>
        <v>11</v>
      </c>
      <c r="B70" t="s">
        <v>1479</v>
      </c>
      <c r="C70" s="6" t="str">
        <f t="shared" si="10"/>
        <v>// TIEMPO ADVIENTO - SEMANA 11 DOMINGO</v>
      </c>
    </row>
    <row r="71" spans="1:3" ht="22.5" x14ac:dyDescent="0.25">
      <c r="A71">
        <f t="shared" si="11"/>
        <v>12</v>
      </c>
      <c r="B71" t="s">
        <v>1479</v>
      </c>
      <c r="C71" s="6" t="str">
        <f t="shared" si="10"/>
        <v>// TIEMPO ADVIENTO - SEMANA 12 DOMINGO</v>
      </c>
    </row>
    <row r="72" spans="1:3" ht="22.5" x14ac:dyDescent="0.25">
      <c r="A72">
        <f t="shared" si="11"/>
        <v>13</v>
      </c>
      <c r="B72" t="s">
        <v>1479</v>
      </c>
      <c r="C72" s="6" t="str">
        <f t="shared" si="10"/>
        <v>// TIEMPO ADVIENTO - SEMANA 13 DOMINGO</v>
      </c>
    </row>
    <row r="75" spans="1:3" ht="22.5" x14ac:dyDescent="0.25">
      <c r="A75">
        <v>1</v>
      </c>
      <c r="B75" t="s">
        <v>1479</v>
      </c>
      <c r="C75" s="6" t="str">
        <f>_xlfn.CONCAT("// TIEMPO DE CUARESMA - SEMANA ",A75," ",B75)</f>
        <v>// TIEMPO DE CUARESMA - SEMANA 1 DOMINGO</v>
      </c>
    </row>
    <row r="76" spans="1:3" ht="22.5" x14ac:dyDescent="0.25">
      <c r="A76">
        <f>+A75+1</f>
        <v>2</v>
      </c>
      <c r="B76" t="s">
        <v>1479</v>
      </c>
      <c r="C76" s="6" t="str">
        <f>_xlfn.CONCAT("// TIEMPO DE CUARESMA - SEMANA ",A76," ",B76)</f>
        <v>// TIEMPO DE CUARESMA - SEMANA 2 DOMINGO</v>
      </c>
    </row>
    <row r="77" spans="1:3" ht="22.5" x14ac:dyDescent="0.25">
      <c r="A77">
        <f t="shared" ref="A77:A80" si="12">+A76+1</f>
        <v>3</v>
      </c>
      <c r="B77" t="s">
        <v>1479</v>
      </c>
      <c r="C77" s="6" t="str">
        <f t="shared" ref="C77:C80" si="13">_xlfn.CONCAT("// TIEMPO DE CUARESMA - SEMANA ",A77," ",B77)</f>
        <v>// TIEMPO DE CUARESMA - SEMANA 3 DOMINGO</v>
      </c>
    </row>
    <row r="78" spans="1:3" ht="22.5" x14ac:dyDescent="0.25">
      <c r="A78">
        <f t="shared" si="12"/>
        <v>4</v>
      </c>
      <c r="B78" t="s">
        <v>1479</v>
      </c>
      <c r="C78" s="6" t="str">
        <f t="shared" si="13"/>
        <v>// TIEMPO DE CUARESMA - SEMANA 4 DOMINGO</v>
      </c>
    </row>
    <row r="79" spans="1:3" ht="22.5" x14ac:dyDescent="0.25">
      <c r="A79">
        <f t="shared" si="12"/>
        <v>5</v>
      </c>
      <c r="B79" t="s">
        <v>1479</v>
      </c>
      <c r="C79" s="6" t="str">
        <f t="shared" si="13"/>
        <v>// TIEMPO DE CUARESMA - SEMANA 5 DOMINGO</v>
      </c>
    </row>
    <row r="80" spans="1:3" ht="22.5" x14ac:dyDescent="0.25">
      <c r="A80">
        <f t="shared" si="12"/>
        <v>6</v>
      </c>
      <c r="B80" t="s">
        <v>1479</v>
      </c>
      <c r="C80" s="6" t="str">
        <f t="shared" si="13"/>
        <v>// TIEMPO DE CUARESMA - SEMANA 6 DOMINGO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dcterms:created xsi:type="dcterms:W3CDTF">2026-07-17T19:22:48Z</dcterms:created>
  <dcterms:modified xsi:type="dcterms:W3CDTF">2026-07-20T21:55:50Z</dcterms:modified>
</cp:coreProperties>
</file>